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tions" sheetId="1" state="visible" r:id="rId1"/>
    <sheet xmlns:r="http://schemas.openxmlformats.org/officeDocument/2006/relationships" name="Screening Tracker" sheetId="2" state="visible" r:id="rId2"/>
    <sheet xmlns:r="http://schemas.openxmlformats.org/officeDocument/2006/relationships" name="Progress Summary" sheetId="3" state="visible" r:id="rId3"/>
    <sheet xmlns:r="http://schemas.openxmlformats.org/officeDocument/2006/relationships" name="Spot-Check Log"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Times New Roman"/>
      <charset val="1"/>
      <family val="0"/>
      <b val="1"/>
      <sz val="14"/>
    </font>
    <font>
      <name val="Times New Roman"/>
      <charset val="1"/>
      <family val="0"/>
      <i val="1"/>
      <sz val="11"/>
    </font>
    <font>
      <name val="Times New Roman"/>
      <charset val="1"/>
      <family val="0"/>
      <sz val="11"/>
    </font>
    <font>
      <name val="Times New Roman"/>
      <charset val="1"/>
      <family val="0"/>
      <b val="1"/>
      <sz val="12"/>
      <u val="single"/>
    </font>
    <font>
      <name val="Times New Roman"/>
      <charset val="1"/>
      <family val="0"/>
      <b val="1"/>
      <sz val="11"/>
    </font>
    <font>
      <name val="Times New Roman"/>
      <charset val="1"/>
      <family val="0"/>
      <i val="1"/>
      <color rgb="FF808080"/>
      <sz val="11"/>
    </font>
    <font>
      <name val="Times New Roman"/>
      <charset val="1"/>
      <family val="0"/>
      <b val="1"/>
      <sz val="12"/>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top"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top" wrapText="1"/>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top"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top" wrapText="1"/>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6" min="1" max="1"/>
  </cols>
  <sheetData>
    <row r="1" ht="17.35" customHeight="1" s="17">
      <c r="A1" s="18" t="inlineStr">
        <is>
          <t>Screening Tracker — Full-Scale Screening</t>
        </is>
      </c>
    </row>
    <row r="3" ht="15" customHeight="1" s="17">
      <c r="A3" s="19" t="inlineStr">
        <is>
          <t>CISE 699 — AI-Driven Cybersecurity Risk Management: A Systematic Review of Emerging Threats, Security Controls, and Governance Challenges</t>
        </is>
      </c>
    </row>
    <row r="4" ht="15" customHeight="1" s="17">
      <c r="A4" s="20" t="inlineStr">
        <is>
          <t>Gaurav Sharma</t>
        </is>
      </c>
    </row>
    <row r="6" ht="15" customHeight="1" s="17">
      <c r="A6" s="21" t="inlineStr">
        <is>
          <t>Purpose</t>
        </is>
      </c>
    </row>
    <row r="7" ht="69.75" customHeight="1" s="17">
      <c r="A7" s="22" t="inlineStr">
        <is>
          <t>This is the research-track equivalent of a project's testing log: a single, complete record of every source your search strings returned and what happened to it. It is not a build artifact -- nothing here runs or compiles -- it is the documented evidence trail NFR1 (Reproducibility) and NFR3 (Auditability) commit this review to, and it is the same schema already used in the Smoke Test 2 pilot (screening-pilot.xlsx), now extended to full scale.</t>
        </is>
      </c>
    </row>
    <row r="9" ht="15" customHeight="1" s="17">
      <c r="A9" s="21" t="inlineStr">
        <is>
          <t>How to use it</t>
        </is>
      </c>
    </row>
    <row r="10" ht="84" customHeight="1" s="17">
      <c r="A10" s="22" t="inlineStr">
        <is>
          <t>Go to the 'Screening Tracker' tab. Row 2 is a worked example in light grey text -- replace it with your first real source rather than leaving it in place. Add one row per source your search returns, in the order you screen them. Category Tag and Decision are dropdown lists (click the cell, then the small arrow). Do not delete rows for excluded sources -- the whole point of the tracker is that every decision is logged, not just the ones that made the cut (Section 4.2's source-coverage benchmark: 100% of include/exclude decisions logged with a reason).</t>
        </is>
      </c>
    </row>
    <row r="12" ht="15" customHeight="1" s="17">
      <c r="A12" s="21" t="inlineStr">
        <is>
          <t>Decision rule</t>
        </is>
      </c>
    </row>
    <row r="13" ht="126" customHeight="1" s="17">
      <c r="A13" s="22" t="inlineStr">
        <is>
          <t>Include a source if it is substantively about AI and cybersecurity risk management -- threats, controls, or governance -- and fits one of the seven categories below. Exclude a source if it falls into one of the three boundaries already fixed in the project charter (Assignment 1, Scope Boundaries): primary data collection from real organizations, low-level algorithmic security engineering (how a specific ML defense algorithm works), or operationally actionable attack detail beyond the MITRE ATLAS categorical level. A source that is on-topic but doesn't fit cleanly into one category still gets included -- tag it with its closest primary category and note the overlap in the Reason column, the same principle FR6 already applies to governance mappings (Hard Stop 2, Section 2.7).</t>
        </is>
      </c>
    </row>
    <row r="15" ht="15" customHeight="1" s="17">
      <c r="A15" s="21" t="inlineStr">
        <is>
          <t>The seven categories</t>
        </is>
      </c>
    </row>
    <row r="16" ht="111.75" customHeight="1" s="17">
      <c r="A16" s="22" t="inlineStr">
        <is>
          <t>- AI-related threats
- Privacy risks
- Security risks
- Human/organizational risks
- Governance risks
- Compliance risks
- Security controls</t>
        </is>
      </c>
    </row>
    <row r="18" ht="15" customHeight="1" s="17">
      <c r="A18" s="21" t="inlineStr">
        <is>
          <t>Target</t>
        </is>
      </c>
    </row>
    <row r="19" ht="42" customHeight="1" s="17">
      <c r="A19" s="22" t="inlineStr">
        <is>
          <t>40 to 80 sources screened in total (Assignment 1 Success Criteria; Hard Stop 2, Section 4.2 source-coverage benchmark). That is total sources screened, include and exclude decisions combined -- not 40 to 80 included sources.</t>
        </is>
      </c>
    </row>
    <row r="21" ht="15" customHeight="1" s="17">
      <c r="A21" s="21" t="inlineStr">
        <is>
          <t>Reason column</t>
        </is>
      </c>
    </row>
    <row r="22" ht="42" customHeight="1" s="17">
      <c r="A22" s="22" t="inlineStr">
        <is>
          <t>One or two sentences is enough. State what the source is actually about and why that earns an Include or Exclude, the same style already used in the Smoke Test 2 pilot rows. Avoid single-word reasons like 'relevant' -- the reason is what makes the decision auditable later.</t>
        </is>
      </c>
    </row>
    <row r="24" ht="15" customHeight="1" s="17">
      <c r="A24" s="21" t="inlineStr">
        <is>
          <t>Screening-consistency spot-check</t>
        </is>
      </c>
    </row>
    <row r="25" ht="55.5" customHeight="1" s="17">
      <c r="A25" s="22" t="inlineStr">
        <is>
          <t>Per Hard Stop 2, Section 4.2: once roughly 10% of sources are screened, re-screen a random resample of that same 10% without looking at your first-pass decisions, and log the agreement rate in the 'Spot-Check Log' tab. Target is at least 90% agreement; anything below that gets resolved and the resolution logged, not silently averaged away.</t>
        </is>
      </c>
    </row>
    <row r="27" ht="15" customHeight="1" s="17">
      <c r="A27" s="21" t="inlineStr">
        <is>
          <t>What this is not</t>
        </is>
      </c>
    </row>
    <row r="28" ht="55.5" customHeight="1" s="17">
      <c r="A28" s="22" t="inlineStr">
        <is>
          <t>This is not a software test suite and nothing here is "passing" or "failing" in a technical sense -- it is a research log. Keep the entries in plain, factual language, consistent with this project's own established style (Hard Stop 2, Section 3.1: no colour, no page numbers; APA 7th edition throughout).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122"/>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40" customWidth="1" style="16" min="2" max="2"/>
    <col width="22" customWidth="1" style="16" min="3" max="3"/>
    <col width="8" customWidth="1" style="16" min="4" max="4"/>
    <col width="20" customWidth="1" style="16" min="5" max="5"/>
    <col width="18" customWidth="1" style="16" min="6" max="6"/>
    <col width="20" customWidth="1" style="16" min="7" max="7"/>
    <col width="10" customWidth="1" style="16" min="8" max="8"/>
    <col width="45" customWidth="1" style="16" min="9" max="9"/>
    <col width="14" customWidth="1" style="16" min="10" max="10"/>
  </cols>
  <sheetData>
    <row r="1" ht="25.5" customHeight="1" s="17">
      <c r="A1" s="23" t="inlineStr">
        <is>
          <t>#</t>
        </is>
      </c>
      <c r="B1" s="23" t="inlineStr">
        <is>
          <t>Title</t>
        </is>
      </c>
      <c r="C1" s="23" t="inlineStr">
        <is>
          <t>Authors</t>
        </is>
      </c>
      <c r="D1" s="23" t="inlineStr">
        <is>
          <t>Year</t>
        </is>
      </c>
      <c r="E1" s="23" t="inlineStr">
        <is>
          <t>Database / Source</t>
        </is>
      </c>
      <c r="F1" s="23" t="inlineStr">
        <is>
          <t>Source Type</t>
        </is>
      </c>
      <c r="G1" s="23" t="inlineStr">
        <is>
          <t>Category Tag</t>
        </is>
      </c>
      <c r="H1" s="23" t="inlineStr">
        <is>
          <t>Decision</t>
        </is>
      </c>
      <c r="I1" s="23" t="inlineStr">
        <is>
          <t>Reason</t>
        </is>
      </c>
      <c r="J1" s="23" t="inlineStr">
        <is>
          <t>Date Screened</t>
        </is>
      </c>
    </row>
    <row r="2" ht="42" customHeight="1" s="17">
      <c r="A2" s="24" t="n">
        <v>1</v>
      </c>
      <c r="B2" s="24" t="inlineStr">
        <is>
          <t>Intelligent dynamic cybersecurity risk management framework with explainability and interpretability of AI models for enhancing security and resilience of digital infrastructure</t>
        </is>
      </c>
      <c r="C2" s="24" t="inlineStr">
        <is>
          <t>Islam, N., Basheer, S., Papastergiou, M., &amp; Ciampi, M.</t>
        </is>
      </c>
      <c r="D2" s="24" t="n">
        <v>2025</v>
      </c>
      <c r="E2" s="24" t="inlineStr">
        <is>
          <t>Google Scholar</t>
        </is>
      </c>
      <c r="F2" s="24" t="inlineStr">
        <is>
          <t>Journal article</t>
        </is>
      </c>
      <c r="G2" s="24" t="inlineStr">
        <is>
          <t>Security controls</t>
        </is>
      </c>
      <c r="H2" s="24" t="inlineStr">
        <is>
          <t>Include</t>
        </is>
      </c>
      <c r="I2" s="24" t="inlineStr">
        <is>
          <t>Proposes an AI-based cybersecurity risk management framework; the explainability/interpretability angle is directly relevant to the Control Selection stage and to the AI RMF Map/Govern functions.</t>
        </is>
      </c>
      <c r="J2" s="24" t="inlineStr">
        <is>
          <t>2026-10-25</t>
        </is>
      </c>
    </row>
    <row r="3" ht="15" customHeight="1" s="17">
      <c r="A3" s="25" t="n">
        <v>2</v>
      </c>
      <c r="B3" s="25" t="inlineStr">
        <is>
          <t>How does AI transform cyber risk management?</t>
        </is>
      </c>
      <c r="C3" s="25" t="inlineStr">
        <is>
          <t>Zeijlemaker, S., Lemiesa, Y. K., Schroer, S. L., Abhishta, A., &amp; Siegel, M.</t>
        </is>
      </c>
      <c r="D3" s="25" t="n">
        <v>2025</v>
      </c>
      <c r="E3" s="25" t="inlineStr">
        <is>
          <t>Google Scholar (verified reference, confirmed in pilot)</t>
        </is>
      </c>
      <c r="F3" s="25" t="inlineStr">
        <is>
          <t>Journal article (Systems, 13(10), Art. 835)</t>
        </is>
      </c>
      <c r="G3" s="25" t="inlineStr">
        <is>
          <t>AI-related threats</t>
        </is>
      </c>
      <c r="H3" s="25" t="inlineStr">
        <is>
          <t>Include</t>
        </is>
      </c>
      <c r="I3" s="25" t="inlineStr">
        <is>
          <t>Already a verified reference for this project; grounds the governance discussion in a real incident (Colonial Pipeline) and maps naturally to Detect/Respond controls.</t>
        </is>
      </c>
      <c r="J3" s="25" t="inlineStr">
        <is>
          <t>2026-10-25</t>
        </is>
      </c>
    </row>
    <row r="4" ht="15" customHeight="1" s="17">
      <c r="A4" s="25" t="n">
        <v>3</v>
      </c>
      <c r="B4" s="25" t="inlineStr">
        <is>
          <t>AI-integrated cyber security risk management framework for IT projects</t>
        </is>
      </c>
      <c r="C4" s="25" t="inlineStr">
        <is>
          <t>Jabbar, R., Al-Janabi, S., &amp; Syms, C.</t>
        </is>
      </c>
      <c r="D4" s="25" t="n">
        <v>2024</v>
      </c>
      <c r="E4" s="25" t="inlineStr">
        <is>
          <t>Google Scholar</t>
        </is>
      </c>
      <c r="F4" s="25" t="inlineStr">
        <is>
          <t>Journal article</t>
        </is>
      </c>
      <c r="G4" s="25" t="inlineStr">
        <is>
          <t>Security controls</t>
        </is>
      </c>
      <c r="H4" s="25" t="inlineStr">
        <is>
          <t>Include</t>
        </is>
      </c>
      <c r="I4" s="25" t="inlineStr">
        <is>
          <t>AI-integrated cybersecurity risk management framework; on topic, though scoped to IT project management rather than general enterprise risk.</t>
        </is>
      </c>
      <c r="J4" s="25" t="inlineStr">
        <is>
          <t>2026-10-25</t>
        </is>
      </c>
    </row>
    <row r="5" ht="15" customHeight="1" s="17">
      <c r="A5" s="25" t="n">
        <v>4</v>
      </c>
      <c r="B5" s="25" t="inlineStr">
        <is>
          <t>Enhancing adaptive cybersecurity risk management through AI-driven threat detection</t>
        </is>
      </c>
      <c r="C5" s="25" t="inlineStr">
        <is>
          <t>Femi, O., &amp; Medugu, N.</t>
        </is>
      </c>
      <c r="D5" s="25" t="n">
        <v>2025</v>
      </c>
      <c r="E5" s="25" t="inlineStr">
        <is>
          <t>Google Scholar</t>
        </is>
      </c>
      <c r="F5" s="25" t="inlineStr">
        <is>
          <t>Journal article</t>
        </is>
      </c>
      <c r="G5" s="25" t="inlineStr">
        <is>
          <t>AI-related threats</t>
        </is>
      </c>
      <c r="H5" s="25" t="inlineStr">
        <is>
          <t>Include</t>
        </is>
      </c>
      <c r="I5" s="25" t="inlineStr">
        <is>
          <t>Focuses on AI-driven threat detection within cybersecurity risk management; relevant to the Threat Identified stage.</t>
        </is>
      </c>
      <c r="J5" s="25" t="inlineStr">
        <is>
          <t>2026-10-25</t>
        </is>
      </c>
    </row>
    <row r="6" ht="15" customHeight="1" s="17">
      <c r="A6" s="25" t="n">
        <v>5</v>
      </c>
      <c r="B6" s="25" t="inlineStr">
        <is>
          <t>Artificial intelligence in cyber risk management: Revolutionizing threat detection and resilience</t>
        </is>
      </c>
      <c r="C6" s="25" t="inlineStr">
        <is>
          <t>Ouariach, A., Ouariach, H., &amp; Meena, R.</t>
        </is>
      </c>
      <c r="D6" s="25" t="n">
        <v>2026</v>
      </c>
      <c r="E6" s="25" t="inlineStr">
        <is>
          <t>Google Scholar</t>
        </is>
      </c>
      <c r="F6" s="25" t="inlineStr">
        <is>
          <t>Journal article</t>
        </is>
      </c>
      <c r="G6" s="25" t="inlineStr">
        <is>
          <t>Security controls</t>
        </is>
      </c>
      <c r="H6" s="25" t="inlineStr">
        <is>
          <t>Include</t>
        </is>
      </c>
      <c r="I6" s="25" t="inlineStr">
        <is>
          <t>Covers AI in cyber risk management broadly, including threat detection and resilience; directly on topic for the review corpus.</t>
        </is>
      </c>
      <c r="J6" s="25" t="inlineStr">
        <is>
          <t>2026-10-25</t>
        </is>
      </c>
    </row>
    <row r="7" ht="15" customHeight="1" s="17">
      <c r="A7" s="25" t="n">
        <v>6</v>
      </c>
      <c r="B7" s="25" t="inlineStr">
        <is>
          <t>Privacy in the Age of AI: A Taxonomy of Data Risks</t>
        </is>
      </c>
      <c r="C7" s="25" t="inlineStr">
        <is>
          <t>Billiris, G., Gill, A., &amp; Bandara, M.</t>
        </is>
      </c>
      <c r="D7" s="25" t="n">
        <v>2025</v>
      </c>
      <c r="E7" s="25" t="inlineStr">
        <is>
          <t>arXiv (preprint, Sept 2025)</t>
        </is>
      </c>
      <c r="F7" s="25" t="inlineStr">
        <is>
          <t>Preprint / systematic review of 45 studies</t>
        </is>
      </c>
      <c r="G7" s="25" t="inlineStr">
        <is>
          <t>Privacy risks</t>
        </is>
      </c>
      <c r="H7" s="25" t="inlineStr">
        <is>
          <t>Include</t>
        </is>
      </c>
      <c r="I7" s="25" t="inlineStr">
        <is>
          <t>Builds a taxonomy of 19 AI privacy risks across dataset, model, infrastructure, and insider-threat categories; finds human error as the largest contributor, directly relevant to control and governance design.</t>
        </is>
      </c>
      <c r="J7" s="25" t="inlineStr">
        <is>
          <t>2026-10-25</t>
        </is>
      </c>
    </row>
    <row r="8" ht="15" customHeight="1" s="17">
      <c r="A8" s="25" t="n">
        <v>7</v>
      </c>
      <c r="B8" s="25" t="inlineStr">
        <is>
          <t>AI in Cybersecurity and Data Privacy: Emerging Trends and Techniques</t>
        </is>
      </c>
      <c r="C8" s="25" t="inlineStr">
        <is>
          <t>Ramya, P.</t>
        </is>
      </c>
      <c r="D8" s="25" t="n">
        <v>2026</v>
      </c>
      <c r="E8" s="25" t="inlineStr">
        <is>
          <t>Google Scholar</t>
        </is>
      </c>
      <c r="F8" s="25" t="inlineStr">
        <is>
          <t>Journal article (Shanlax Intl. J. of Management, 13(S1-Mar), 195-203)</t>
        </is>
      </c>
      <c r="G8" s="25" t="inlineStr">
        <is>
          <t>Security controls</t>
        </is>
      </c>
      <c r="H8" s="25" t="inlineStr">
        <is>
          <t>Include</t>
        </is>
      </c>
      <c r="I8" s="25" t="inlineStr">
        <is>
          <t>Covers AI threat-detection techniques and privacy-protective methods (federated learning, differential privacy) alongside AI-introduced risks; calls for governance, ethical design, and regulatory compliance.</t>
        </is>
      </c>
      <c r="J8" s="25" t="inlineStr">
        <is>
          <t>2026-10-25</t>
        </is>
      </c>
    </row>
    <row r="9" ht="15" customHeight="1" s="17">
      <c r="A9" s="25" t="n">
        <v>8</v>
      </c>
      <c r="B9" s="25" t="inlineStr">
        <is>
          <t>The Impact of Artificial Intelligence on Organisational Security Management</t>
        </is>
      </c>
      <c r="C9" s="25" t="inlineStr">
        <is>
          <t>Chodyka, M., Ciekanowski, Z., Krecikij, J., Wronka, S., Zurawski, S., &amp; Drapikowska, B.</t>
        </is>
      </c>
      <c r="D9" s="25" t="n">
        <v>2026</v>
      </c>
      <c r="E9" s="25" t="inlineStr">
        <is>
          <t>Google Scholar</t>
        </is>
      </c>
      <c r="F9" s="25" t="inlineStr">
        <is>
          <t>Journal article (European Research Studies Journal, XXIX(2), 595-605)</t>
        </is>
      </c>
      <c r="G9" s="25" t="inlineStr">
        <is>
          <t>Human/organizational risks</t>
        </is>
      </c>
      <c r="H9" s="25" t="inlineStr">
        <is>
          <t>Include</t>
        </is>
      </c>
      <c r="I9" s="25" t="inlineStr">
        <is>
          <t>Covers shadow AI, staff policy, and governance needs for organisational security management; directly relevant to the Governance &amp; Compliance Obligation stage.</t>
        </is>
      </c>
      <c r="J9" s="25" t="inlineStr">
        <is>
          <t>2026-10-25</t>
        </is>
      </c>
    </row>
    <row r="10" ht="15" customHeight="1" s="17">
      <c r="A10" s="25" t="n">
        <v>9</v>
      </c>
      <c r="B10" s="25" t="inlineStr">
        <is>
          <t>Artificial Intelligence in Cybersecurity: A Systematic Literature Review of AI-Driven Threat Detection and Organizational Defense</t>
        </is>
      </c>
      <c r="C10" s="25" t="inlineStr">
        <is>
          <t>Mannam, J., &amp; Kuai, L.</t>
        </is>
      </c>
      <c r="D10" s="25" t="n">
        <v>2026</v>
      </c>
      <c r="E10" s="25" t="inlineStr">
        <is>
          <t>Google Scholar</t>
        </is>
      </c>
      <c r="F10" s="25" t="inlineStr">
        <is>
          <t>Conference paper (AMCIS 2026 TREOs, AIS eLibrary)</t>
        </is>
      </c>
      <c r="G10" s="25" t="inlineStr">
        <is>
          <t>AI-related threats</t>
        </is>
      </c>
      <c r="H10" s="25" t="inlineStr">
        <is>
          <t>Include</t>
        </is>
      </c>
      <c r="I10" s="25" t="inlineStr">
        <is>
          <t>A related systematic review of AI threat detection and organizational defense using PRISMA; useful as an additional comparison point alongside Albulayhi &amp; Alkhalifah (2026) and Mokgathi &amp; Ogundele (2026).</t>
        </is>
      </c>
      <c r="J10" s="25" t="inlineStr">
        <is>
          <t>2026-10-25</t>
        </is>
      </c>
    </row>
    <row r="11" ht="15" customHeight="1" s="17">
      <c r="A11" s="25" t="n">
        <v>10</v>
      </c>
      <c r="B11" s="25" t="inlineStr">
        <is>
          <t>A Systematic Mapping Study on Approaches for AI-Supported Security Risk Assessment</t>
        </is>
      </c>
      <c r="C11" s="25" t="inlineStr">
        <is>
          <t>Erdogan, G., et al.</t>
        </is>
      </c>
      <c r="D11" s="25" t="n">
        <v>2021</v>
      </c>
      <c r="E11" s="25" t="inlineStr">
        <is>
          <t>Google Scholar</t>
        </is>
      </c>
      <c r="F11" s="25" t="inlineStr">
        <is>
          <t>Conference paper (IEEE COMPSAC 2021)</t>
        </is>
      </c>
      <c r="G11" s="25" t="inlineStr">
        <is>
          <t>Security controls</t>
        </is>
      </c>
      <c r="H11" s="25" t="inlineStr">
        <is>
          <t>Exclude</t>
        </is>
      </c>
      <c r="I11" s="25" t="inlineStr">
        <is>
          <t>Out of scope: maps technical AI risk-assessment techniques (Bayesian networks, neural networks for intrusion/malware detection) rather than threat-to-control-to-governance tracing; falls inside the project's low-level algorithmic-engineering exclusion boundary (Assignment 1, Scope Boundaries).</t>
        </is>
      </c>
      <c r="J11" s="25" t="inlineStr">
        <is>
          <t>2026-10-25</t>
        </is>
      </c>
    </row>
    <row r="12" ht="15" customHeight="1" s="17">
      <c r="A12" s="25" t="n">
        <v>11</v>
      </c>
      <c r="B12" s="25" t="inlineStr">
        <is>
          <t>Beyond the Hype - Evaluating the Business Impact of AI adoption in Cybersecurity</t>
        </is>
      </c>
      <c r="C12" s="25" t="inlineStr">
        <is>
          <t>Wolfe, C., O'Flaherty, B., Ramesh, P., Prakash, K., Zhao, T., Sun, H., Sheehan, K., &amp; Treacy, S.</t>
        </is>
      </c>
      <c r="D12" s="25" t="n">
        <v>2025</v>
      </c>
      <c r="E12" s="25" t="inlineStr">
        <is>
          <t>Google Scholar</t>
        </is>
      </c>
      <c r="F12" s="25" t="inlineStr">
        <is>
          <t>Conference paper (Pre-ICIS SIGDSA 2025, AIS eLibrary)</t>
        </is>
      </c>
      <c r="G12" s="25" t="inlineStr">
        <is>
          <t>Human/organizational risks</t>
        </is>
      </c>
      <c r="H12" s="25" t="inlineStr">
        <is>
          <t>Exclude</t>
        </is>
      </c>
      <c r="I12" s="25" t="inlineStr">
        <is>
          <t>Excluded: primary data collection (survey and interviews) from a named real organization (Cyber-Tech); this project's charter (Assignment 1) explicitly scopes out primary data collection from real organizations.</t>
        </is>
      </c>
      <c r="J12" s="25" t="inlineStr">
        <is>
          <t>2026-10-25</t>
        </is>
      </c>
    </row>
    <row r="13" ht="15" customHeight="1" s="17">
      <c r="A13" s="25" t="n">
        <v>12</v>
      </c>
      <c r="B13" s="25" t="inlineStr">
        <is>
          <t>A five-layer framework for AI governance: integrating regulation, standards, and certification</t>
        </is>
      </c>
      <c r="C13" s="25" t="inlineStr">
        <is>
          <t>Agarwal, A., &amp; Nene, M. J.</t>
        </is>
      </c>
      <c r="D13" s="25" t="n">
        <v>2025</v>
      </c>
      <c r="E13" s="25" t="inlineStr">
        <is>
          <t>arXiv (preprint, Sept 2025)</t>
        </is>
      </c>
      <c r="F13" s="25" t="inlineStr">
        <is>
          <t>Preprint</t>
        </is>
      </c>
      <c r="G13" s="25" t="inlineStr">
        <is>
          <t>Governance risks</t>
        </is>
      </c>
      <c r="H13" s="25" t="inlineStr">
        <is>
          <t>Exclude</t>
        </is>
      </c>
      <c r="I13" s="25" t="inlineStr">
        <is>
          <t>Borderline, re-checked in the spot-check log below: addresses AI governance broadly (fairness, certification) with only an indirect tie to cybersecurity via incident reporting; not substantively about cybersecurity risk management as this project's inclusion rule requires.</t>
        </is>
      </c>
      <c r="J13" s="25" t="inlineStr">
        <is>
          <t>2026-10-25</t>
        </is>
      </c>
    </row>
    <row r="14" ht="15" customHeight="1" s="17">
      <c r="A14" s="25">
        <f>ROW()-1</f>
        <v/>
      </c>
      <c r="B14" s="25" t="n"/>
      <c r="C14" s="25" t="n"/>
      <c r="D14" s="25" t="n"/>
      <c r="E14" s="25" t="n"/>
      <c r="F14" s="25" t="n"/>
      <c r="G14" s="25" t="n"/>
      <c r="H14" s="25" t="n"/>
      <c r="I14" s="25" t="n"/>
      <c r="J14" s="25" t="n"/>
    </row>
    <row r="15" ht="15" customHeight="1" s="17">
      <c r="A15" s="25">
        <f>ROW()-1</f>
        <v/>
      </c>
      <c r="B15" s="25" t="n"/>
      <c r="C15" s="25" t="n"/>
      <c r="D15" s="25" t="n"/>
      <c r="E15" s="25" t="n"/>
      <c r="F15" s="25" t="n"/>
      <c r="G15" s="25" t="n"/>
      <c r="H15" s="25" t="n"/>
      <c r="I15" s="25" t="n"/>
      <c r="J15" s="25" t="n"/>
    </row>
    <row r="16" ht="15" customHeight="1" s="17">
      <c r="A16" s="25">
        <f>ROW()-1</f>
        <v/>
      </c>
      <c r="B16" s="25" t="n"/>
      <c r="C16" s="25" t="n"/>
      <c r="D16" s="25" t="n"/>
      <c r="E16" s="25" t="n"/>
      <c r="F16" s="25" t="n"/>
      <c r="G16" s="25" t="n"/>
      <c r="H16" s="25" t="n"/>
      <c r="I16" s="25" t="n"/>
      <c r="J16" s="25" t="n"/>
    </row>
    <row r="17" ht="15" customHeight="1" s="17">
      <c r="A17" s="25">
        <f>ROW()-1</f>
        <v/>
      </c>
      <c r="B17" s="25" t="n"/>
      <c r="C17" s="25" t="n"/>
      <c r="D17" s="25" t="n"/>
      <c r="E17" s="25" t="n"/>
      <c r="F17" s="25" t="n"/>
      <c r="G17" s="25" t="n"/>
      <c r="H17" s="25" t="n"/>
      <c r="I17" s="25" t="n"/>
      <c r="J17" s="25" t="n"/>
    </row>
    <row r="18" ht="15" customHeight="1" s="17">
      <c r="A18" s="25">
        <f>ROW()-1</f>
        <v/>
      </c>
      <c r="B18" s="25" t="n"/>
      <c r="C18" s="25" t="n"/>
      <c r="D18" s="25" t="n"/>
      <c r="E18" s="25" t="n"/>
      <c r="F18" s="25" t="n"/>
      <c r="G18" s="25" t="n"/>
      <c r="H18" s="25" t="n"/>
      <c r="I18" s="25" t="n"/>
      <c r="J18" s="25" t="n"/>
    </row>
    <row r="19" ht="15" customHeight="1" s="17">
      <c r="A19" s="25">
        <f>ROW()-1</f>
        <v/>
      </c>
      <c r="B19" s="25" t="n"/>
      <c r="C19" s="25" t="n"/>
      <c r="D19" s="25" t="n"/>
      <c r="E19" s="25" t="n"/>
      <c r="F19" s="25" t="n"/>
      <c r="G19" s="25" t="n"/>
      <c r="H19" s="25" t="n"/>
      <c r="I19" s="25" t="n"/>
      <c r="J19" s="25" t="n"/>
    </row>
    <row r="20" ht="15" customHeight="1" s="17">
      <c r="A20" s="25">
        <f>ROW()-1</f>
        <v/>
      </c>
      <c r="B20" s="25" t="n"/>
      <c r="C20" s="25" t="n"/>
      <c r="D20" s="25" t="n"/>
      <c r="E20" s="25" t="n"/>
      <c r="F20" s="25" t="n"/>
      <c r="G20" s="25" t="n"/>
      <c r="H20" s="25" t="n"/>
      <c r="I20" s="25" t="n"/>
      <c r="J20" s="25" t="n"/>
    </row>
    <row r="21" ht="15" customHeight="1" s="17">
      <c r="A21" s="25">
        <f>ROW()-1</f>
        <v/>
      </c>
      <c r="B21" s="25" t="n"/>
      <c r="C21" s="25" t="n"/>
      <c r="D21" s="25" t="n"/>
      <c r="E21" s="25" t="n"/>
      <c r="F21" s="25" t="n"/>
      <c r="G21" s="25" t="n"/>
      <c r="H21" s="25" t="n"/>
      <c r="I21" s="25" t="n"/>
      <c r="J21" s="25" t="n"/>
    </row>
    <row r="22" ht="15" customHeight="1" s="17">
      <c r="A22" s="25">
        <f>ROW()-1</f>
        <v/>
      </c>
      <c r="B22" s="25" t="n"/>
      <c r="C22" s="25" t="n"/>
      <c r="D22" s="25" t="n"/>
      <c r="E22" s="25" t="n"/>
      <c r="F22" s="25" t="n"/>
      <c r="G22" s="25" t="n"/>
      <c r="H22" s="25" t="n"/>
      <c r="I22" s="25" t="n"/>
      <c r="J22" s="25" t="n"/>
    </row>
    <row r="23" ht="15" customHeight="1" s="17">
      <c r="A23" s="25">
        <f>ROW()-1</f>
        <v/>
      </c>
      <c r="B23" s="25" t="n"/>
      <c r="C23" s="25" t="n"/>
      <c r="D23" s="25" t="n"/>
      <c r="E23" s="25" t="n"/>
      <c r="F23" s="25" t="n"/>
      <c r="G23" s="25" t="n"/>
      <c r="H23" s="25" t="n"/>
      <c r="I23" s="25" t="n"/>
      <c r="J23" s="25" t="n"/>
    </row>
    <row r="24" ht="15" customHeight="1" s="17">
      <c r="A24" s="25">
        <f>ROW()-1</f>
        <v/>
      </c>
      <c r="B24" s="25" t="n"/>
      <c r="C24" s="25" t="n"/>
      <c r="D24" s="25" t="n"/>
      <c r="E24" s="25" t="n"/>
      <c r="F24" s="25" t="n"/>
      <c r="G24" s="25" t="n"/>
      <c r="H24" s="25" t="n"/>
      <c r="I24" s="25" t="n"/>
      <c r="J24" s="25" t="n"/>
    </row>
    <row r="25" ht="15" customHeight="1" s="17">
      <c r="A25" s="25">
        <f>ROW()-1</f>
        <v/>
      </c>
      <c r="B25" s="25" t="n"/>
      <c r="C25" s="25" t="n"/>
      <c r="D25" s="25" t="n"/>
      <c r="E25" s="25" t="n"/>
      <c r="F25" s="25" t="n"/>
      <c r="G25" s="25" t="n"/>
      <c r="H25" s="25" t="n"/>
      <c r="I25" s="25" t="n"/>
      <c r="J25" s="25" t="n"/>
    </row>
    <row r="26" ht="15" customHeight="1" s="17">
      <c r="A26" s="25">
        <f>ROW()-1</f>
        <v/>
      </c>
      <c r="B26" s="25" t="n"/>
      <c r="C26" s="25" t="n"/>
      <c r="D26" s="25" t="n"/>
      <c r="E26" s="25" t="n"/>
      <c r="F26" s="25" t="n"/>
      <c r="G26" s="25" t="n"/>
      <c r="H26" s="25" t="n"/>
      <c r="I26" s="25" t="n"/>
      <c r="J26" s="25" t="n"/>
    </row>
    <row r="27" ht="15" customHeight="1" s="17">
      <c r="A27" s="25">
        <f>ROW()-1</f>
        <v/>
      </c>
      <c r="B27" s="25" t="n"/>
      <c r="C27" s="25" t="n"/>
      <c r="D27" s="25" t="n"/>
      <c r="E27" s="25" t="n"/>
      <c r="F27" s="25" t="n"/>
      <c r="G27" s="25" t="n"/>
      <c r="H27" s="25" t="n"/>
      <c r="I27" s="25" t="n"/>
      <c r="J27" s="25" t="n"/>
    </row>
    <row r="28" ht="15" customHeight="1" s="17">
      <c r="A28" s="25">
        <f>ROW()-1</f>
        <v/>
      </c>
      <c r="B28" s="25" t="n"/>
      <c r="C28" s="25" t="n"/>
      <c r="D28" s="25" t="n"/>
      <c r="E28" s="25" t="n"/>
      <c r="F28" s="25" t="n"/>
      <c r="G28" s="25" t="n"/>
      <c r="H28" s="25" t="n"/>
      <c r="I28" s="25" t="n"/>
      <c r="J28" s="25" t="n"/>
    </row>
    <row r="29" ht="15" customHeight="1" s="17">
      <c r="A29" s="25">
        <f>ROW()-1</f>
        <v/>
      </c>
      <c r="B29" s="25" t="n"/>
      <c r="C29" s="25" t="n"/>
      <c r="D29" s="25" t="n"/>
      <c r="E29" s="25" t="n"/>
      <c r="F29" s="25" t="n"/>
      <c r="G29" s="25" t="n"/>
      <c r="H29" s="25" t="n"/>
      <c r="I29" s="25" t="n"/>
      <c r="J29" s="25" t="n"/>
    </row>
    <row r="30" ht="15" customHeight="1" s="17">
      <c r="A30" s="25">
        <f>ROW()-1</f>
        <v/>
      </c>
      <c r="B30" s="25" t="n"/>
      <c r="C30" s="25" t="n"/>
      <c r="D30" s="25" t="n"/>
      <c r="E30" s="25" t="n"/>
      <c r="F30" s="25" t="n"/>
      <c r="G30" s="25" t="n"/>
      <c r="H30" s="25" t="n"/>
      <c r="I30" s="25" t="n"/>
      <c r="J30" s="25" t="n"/>
    </row>
    <row r="31" ht="15" customHeight="1" s="17">
      <c r="A31" s="25">
        <f>ROW()-1</f>
        <v/>
      </c>
      <c r="B31" s="25" t="n"/>
      <c r="C31" s="25" t="n"/>
      <c r="D31" s="25" t="n"/>
      <c r="E31" s="25" t="n"/>
      <c r="F31" s="25" t="n"/>
      <c r="G31" s="25" t="n"/>
      <c r="H31" s="25" t="n"/>
      <c r="I31" s="25" t="n"/>
      <c r="J31" s="25" t="n"/>
    </row>
    <row r="32" ht="15" customHeight="1" s="17">
      <c r="A32" s="25">
        <f>ROW()-1</f>
        <v/>
      </c>
      <c r="B32" s="25" t="n"/>
      <c r="C32" s="25" t="n"/>
      <c r="D32" s="25" t="n"/>
      <c r="E32" s="25" t="n"/>
      <c r="F32" s="25" t="n"/>
      <c r="G32" s="25" t="n"/>
      <c r="H32" s="25" t="n"/>
      <c r="I32" s="25" t="n"/>
      <c r="J32" s="25" t="n"/>
    </row>
    <row r="33" ht="15" customHeight="1" s="17">
      <c r="A33" s="25">
        <f>ROW()-1</f>
        <v/>
      </c>
      <c r="B33" s="25" t="n"/>
      <c r="C33" s="25" t="n"/>
      <c r="D33" s="25" t="n"/>
      <c r="E33" s="25" t="n"/>
      <c r="F33" s="25" t="n"/>
      <c r="G33" s="25" t="n"/>
      <c r="H33" s="25" t="n"/>
      <c r="I33" s="25" t="n"/>
      <c r="J33" s="25" t="n"/>
    </row>
    <row r="34" ht="15" customHeight="1" s="17">
      <c r="A34" s="25">
        <f>ROW()-1</f>
        <v/>
      </c>
      <c r="B34" s="25" t="n"/>
      <c r="C34" s="25" t="n"/>
      <c r="D34" s="25" t="n"/>
      <c r="E34" s="25" t="n"/>
      <c r="F34" s="25" t="n"/>
      <c r="G34" s="25" t="n"/>
      <c r="H34" s="25" t="n"/>
      <c r="I34" s="25" t="n"/>
      <c r="J34" s="25" t="n"/>
    </row>
    <row r="35" ht="15" customHeight="1" s="17">
      <c r="A35" s="25">
        <f>ROW()-1</f>
        <v/>
      </c>
      <c r="B35" s="25" t="n"/>
      <c r="C35" s="25" t="n"/>
      <c r="D35" s="25" t="n"/>
      <c r="E35" s="25" t="n"/>
      <c r="F35" s="25" t="n"/>
      <c r="G35" s="25" t="n"/>
      <c r="H35" s="25" t="n"/>
      <c r="I35" s="25" t="n"/>
      <c r="J35" s="25" t="n"/>
    </row>
    <row r="36" ht="15" customHeight="1" s="17">
      <c r="A36" s="25">
        <f>ROW()-1</f>
        <v/>
      </c>
      <c r="B36" s="25" t="n"/>
      <c r="C36" s="25" t="n"/>
      <c r="D36" s="25" t="n"/>
      <c r="E36" s="25" t="n"/>
      <c r="F36" s="25" t="n"/>
      <c r="G36" s="25" t="n"/>
      <c r="H36" s="25" t="n"/>
      <c r="I36" s="25" t="n"/>
      <c r="J36" s="25" t="n"/>
    </row>
    <row r="37" ht="15" customHeight="1" s="17">
      <c r="A37" s="25">
        <f>ROW()-1</f>
        <v/>
      </c>
      <c r="B37" s="25" t="n"/>
      <c r="C37" s="25" t="n"/>
      <c r="D37" s="25" t="n"/>
      <c r="E37" s="25" t="n"/>
      <c r="F37" s="25" t="n"/>
      <c r="G37" s="25" t="n"/>
      <c r="H37" s="25" t="n"/>
      <c r="I37" s="25" t="n"/>
      <c r="J37" s="25" t="n"/>
    </row>
    <row r="38" ht="15" customHeight="1" s="17">
      <c r="A38" s="25">
        <f>ROW()-1</f>
        <v/>
      </c>
      <c r="B38" s="25" t="n"/>
      <c r="C38" s="25" t="n"/>
      <c r="D38" s="25" t="n"/>
      <c r="E38" s="25" t="n"/>
      <c r="F38" s="25" t="n"/>
      <c r="G38" s="25" t="n"/>
      <c r="H38" s="25" t="n"/>
      <c r="I38" s="25" t="n"/>
      <c r="J38" s="25" t="n"/>
    </row>
    <row r="39" ht="15" customHeight="1" s="17">
      <c r="A39" s="25">
        <f>ROW()-1</f>
        <v/>
      </c>
      <c r="B39" s="25" t="n"/>
      <c r="C39" s="25" t="n"/>
      <c r="D39" s="25" t="n"/>
      <c r="E39" s="25" t="n"/>
      <c r="F39" s="25" t="n"/>
      <c r="G39" s="25" t="n"/>
      <c r="H39" s="25" t="n"/>
      <c r="I39" s="25" t="n"/>
      <c r="J39" s="25" t="n"/>
    </row>
    <row r="40" ht="15" customHeight="1" s="17">
      <c r="A40" s="25">
        <f>ROW()-1</f>
        <v/>
      </c>
      <c r="B40" s="25" t="n"/>
      <c r="C40" s="25" t="n"/>
      <c r="D40" s="25" t="n"/>
      <c r="E40" s="25" t="n"/>
      <c r="F40" s="25" t="n"/>
      <c r="G40" s="25" t="n"/>
      <c r="H40" s="25" t="n"/>
      <c r="I40" s="25" t="n"/>
      <c r="J40" s="25" t="n"/>
    </row>
    <row r="41" ht="15" customHeight="1" s="17">
      <c r="A41" s="25">
        <f>ROW()-1</f>
        <v/>
      </c>
      <c r="B41" s="25" t="n"/>
      <c r="C41" s="25" t="n"/>
      <c r="D41" s="25" t="n"/>
      <c r="E41" s="25" t="n"/>
      <c r="F41" s="25" t="n"/>
      <c r="G41" s="25" t="n"/>
      <c r="H41" s="25" t="n"/>
      <c r="I41" s="25" t="n"/>
      <c r="J41" s="25" t="n"/>
    </row>
    <row r="42" ht="15" customHeight="1" s="17">
      <c r="A42" s="25">
        <f>ROW()-1</f>
        <v/>
      </c>
      <c r="B42" s="25" t="n"/>
      <c r="C42" s="25" t="n"/>
      <c r="D42" s="25" t="n"/>
      <c r="E42" s="25" t="n"/>
      <c r="F42" s="25" t="n"/>
      <c r="G42" s="25" t="n"/>
      <c r="H42" s="25" t="n"/>
      <c r="I42" s="25" t="n"/>
      <c r="J42" s="25" t="n"/>
    </row>
    <row r="43" ht="15" customHeight="1" s="17">
      <c r="A43" s="25">
        <f>ROW()-1</f>
        <v/>
      </c>
      <c r="B43" s="25" t="n"/>
      <c r="C43" s="25" t="n"/>
      <c r="D43" s="25" t="n"/>
      <c r="E43" s="25" t="n"/>
      <c r="F43" s="25" t="n"/>
      <c r="G43" s="25" t="n"/>
      <c r="H43" s="25" t="n"/>
      <c r="I43" s="25" t="n"/>
      <c r="J43" s="25" t="n"/>
    </row>
    <row r="44" ht="15" customHeight="1" s="17">
      <c r="A44" s="25">
        <f>ROW()-1</f>
        <v/>
      </c>
      <c r="B44" s="25" t="n"/>
      <c r="C44" s="25" t="n"/>
      <c r="D44" s="25" t="n"/>
      <c r="E44" s="25" t="n"/>
      <c r="F44" s="25" t="n"/>
      <c r="G44" s="25" t="n"/>
      <c r="H44" s="25" t="n"/>
      <c r="I44" s="25" t="n"/>
      <c r="J44" s="25" t="n"/>
    </row>
    <row r="45" ht="15" customHeight="1" s="17">
      <c r="A45" s="25">
        <f>ROW()-1</f>
        <v/>
      </c>
      <c r="B45" s="25" t="n"/>
      <c r="C45" s="25" t="n"/>
      <c r="D45" s="25" t="n"/>
      <c r="E45" s="25" t="n"/>
      <c r="F45" s="25" t="n"/>
      <c r="G45" s="25" t="n"/>
      <c r="H45" s="25" t="n"/>
      <c r="I45" s="25" t="n"/>
      <c r="J45" s="25" t="n"/>
    </row>
    <row r="46" ht="15" customHeight="1" s="17">
      <c r="A46" s="25">
        <f>ROW()-1</f>
        <v/>
      </c>
      <c r="B46" s="25" t="n"/>
      <c r="C46" s="25" t="n"/>
      <c r="D46" s="25" t="n"/>
      <c r="E46" s="25" t="n"/>
      <c r="F46" s="25" t="n"/>
      <c r="G46" s="25" t="n"/>
      <c r="H46" s="25" t="n"/>
      <c r="I46" s="25" t="n"/>
      <c r="J46" s="25" t="n"/>
    </row>
    <row r="47" ht="15" customHeight="1" s="17">
      <c r="A47" s="25">
        <f>ROW()-1</f>
        <v/>
      </c>
      <c r="B47" s="25" t="n"/>
      <c r="C47" s="25" t="n"/>
      <c r="D47" s="25" t="n"/>
      <c r="E47" s="25" t="n"/>
      <c r="F47" s="25" t="n"/>
      <c r="G47" s="25" t="n"/>
      <c r="H47" s="25" t="n"/>
      <c r="I47" s="25" t="n"/>
      <c r="J47" s="25" t="n"/>
    </row>
    <row r="48" ht="15" customHeight="1" s="17">
      <c r="A48" s="25">
        <f>ROW()-1</f>
        <v/>
      </c>
      <c r="B48" s="25" t="n"/>
      <c r="C48" s="25" t="n"/>
      <c r="D48" s="25" t="n"/>
      <c r="E48" s="25" t="n"/>
      <c r="F48" s="25" t="n"/>
      <c r="G48" s="25" t="n"/>
      <c r="H48" s="25" t="n"/>
      <c r="I48" s="25" t="n"/>
      <c r="J48" s="25" t="n"/>
    </row>
    <row r="49" ht="15" customHeight="1" s="17">
      <c r="A49" s="25">
        <f>ROW()-1</f>
        <v/>
      </c>
      <c r="B49" s="25" t="n"/>
      <c r="C49" s="25" t="n"/>
      <c r="D49" s="25" t="n"/>
      <c r="E49" s="25" t="n"/>
      <c r="F49" s="25" t="n"/>
      <c r="G49" s="25" t="n"/>
      <c r="H49" s="25" t="n"/>
      <c r="I49" s="25" t="n"/>
      <c r="J49" s="25" t="n"/>
    </row>
    <row r="50" ht="15" customHeight="1" s="17">
      <c r="A50" s="25">
        <f>ROW()-1</f>
        <v/>
      </c>
      <c r="B50" s="25" t="n"/>
      <c r="C50" s="25" t="n"/>
      <c r="D50" s="25" t="n"/>
      <c r="E50" s="25" t="n"/>
      <c r="F50" s="25" t="n"/>
      <c r="G50" s="25" t="n"/>
      <c r="H50" s="25" t="n"/>
      <c r="I50" s="25" t="n"/>
      <c r="J50" s="25" t="n"/>
    </row>
    <row r="51" ht="15" customHeight="1" s="17">
      <c r="A51" s="25">
        <f>ROW()-1</f>
        <v/>
      </c>
      <c r="B51" s="25" t="n"/>
      <c r="C51" s="25" t="n"/>
      <c r="D51" s="25" t="n"/>
      <c r="E51" s="25" t="n"/>
      <c r="F51" s="25" t="n"/>
      <c r="G51" s="25" t="n"/>
      <c r="H51" s="25" t="n"/>
      <c r="I51" s="25" t="n"/>
      <c r="J51" s="25" t="n"/>
    </row>
    <row r="52" ht="15" customHeight="1" s="17">
      <c r="A52" s="25">
        <f>ROW()-1</f>
        <v/>
      </c>
      <c r="B52" s="25" t="n"/>
      <c r="C52" s="25" t="n"/>
      <c r="D52" s="25" t="n"/>
      <c r="E52" s="25" t="n"/>
      <c r="F52" s="25" t="n"/>
      <c r="G52" s="25" t="n"/>
      <c r="H52" s="25" t="n"/>
      <c r="I52" s="25" t="n"/>
      <c r="J52" s="25" t="n"/>
    </row>
    <row r="53" ht="15" customHeight="1" s="17">
      <c r="A53" s="25">
        <f>ROW()-1</f>
        <v/>
      </c>
      <c r="B53" s="25" t="n"/>
      <c r="C53" s="25" t="n"/>
      <c r="D53" s="25" t="n"/>
      <c r="E53" s="25" t="n"/>
      <c r="F53" s="25" t="n"/>
      <c r="G53" s="25" t="n"/>
      <c r="H53" s="25" t="n"/>
      <c r="I53" s="25" t="n"/>
      <c r="J53" s="25" t="n"/>
    </row>
    <row r="54" ht="15" customHeight="1" s="17">
      <c r="A54" s="25">
        <f>ROW()-1</f>
        <v/>
      </c>
      <c r="B54" s="25" t="n"/>
      <c r="C54" s="25" t="n"/>
      <c r="D54" s="25" t="n"/>
      <c r="E54" s="25" t="n"/>
      <c r="F54" s="25" t="n"/>
      <c r="G54" s="25" t="n"/>
      <c r="H54" s="25" t="n"/>
      <c r="I54" s="25" t="n"/>
      <c r="J54" s="25" t="n"/>
    </row>
    <row r="55" ht="15" customHeight="1" s="17">
      <c r="A55" s="25">
        <f>ROW()-1</f>
        <v/>
      </c>
      <c r="B55" s="25" t="n"/>
      <c r="C55" s="25" t="n"/>
      <c r="D55" s="25" t="n"/>
      <c r="E55" s="25" t="n"/>
      <c r="F55" s="25" t="n"/>
      <c r="G55" s="25" t="n"/>
      <c r="H55" s="25" t="n"/>
      <c r="I55" s="25" t="n"/>
      <c r="J55" s="25" t="n"/>
    </row>
    <row r="56" ht="15" customHeight="1" s="17">
      <c r="A56" s="25">
        <f>ROW()-1</f>
        <v/>
      </c>
      <c r="B56" s="25" t="n"/>
      <c r="C56" s="25" t="n"/>
      <c r="D56" s="25" t="n"/>
      <c r="E56" s="25" t="n"/>
      <c r="F56" s="25" t="n"/>
      <c r="G56" s="25" t="n"/>
      <c r="H56" s="25" t="n"/>
      <c r="I56" s="25" t="n"/>
      <c r="J56" s="25" t="n"/>
    </row>
    <row r="57" ht="15" customHeight="1" s="17">
      <c r="A57" s="25">
        <f>ROW()-1</f>
        <v/>
      </c>
      <c r="B57" s="25" t="n"/>
      <c r="C57" s="25" t="n"/>
      <c r="D57" s="25" t="n"/>
      <c r="E57" s="25" t="n"/>
      <c r="F57" s="25" t="n"/>
      <c r="G57" s="25" t="n"/>
      <c r="H57" s="25" t="n"/>
      <c r="I57" s="25" t="n"/>
      <c r="J57" s="25" t="n"/>
    </row>
    <row r="58" ht="15" customHeight="1" s="17">
      <c r="A58" s="25">
        <f>ROW()-1</f>
        <v/>
      </c>
      <c r="B58" s="25" t="n"/>
      <c r="C58" s="25" t="n"/>
      <c r="D58" s="25" t="n"/>
      <c r="E58" s="25" t="n"/>
      <c r="F58" s="25" t="n"/>
      <c r="G58" s="25" t="n"/>
      <c r="H58" s="25" t="n"/>
      <c r="I58" s="25" t="n"/>
      <c r="J58" s="25" t="n"/>
    </row>
    <row r="59" ht="15" customHeight="1" s="17">
      <c r="A59" s="25">
        <f>ROW()-1</f>
        <v/>
      </c>
      <c r="B59" s="25" t="n"/>
      <c r="C59" s="25" t="n"/>
      <c r="D59" s="25" t="n"/>
      <c r="E59" s="25" t="n"/>
      <c r="F59" s="25" t="n"/>
      <c r="G59" s="25" t="n"/>
      <c r="H59" s="25" t="n"/>
      <c r="I59" s="25" t="n"/>
      <c r="J59" s="25" t="n"/>
    </row>
    <row r="60" ht="15" customHeight="1" s="17">
      <c r="A60" s="25">
        <f>ROW()-1</f>
        <v/>
      </c>
      <c r="B60" s="25" t="n"/>
      <c r="C60" s="25" t="n"/>
      <c r="D60" s="25" t="n"/>
      <c r="E60" s="25" t="n"/>
      <c r="F60" s="25" t="n"/>
      <c r="G60" s="25" t="n"/>
      <c r="H60" s="25" t="n"/>
      <c r="I60" s="25" t="n"/>
      <c r="J60" s="25" t="n"/>
    </row>
    <row r="61" ht="15" customHeight="1" s="17">
      <c r="A61" s="25">
        <f>ROW()-1</f>
        <v/>
      </c>
      <c r="B61" s="25" t="n"/>
      <c r="C61" s="25" t="n"/>
      <c r="D61" s="25" t="n"/>
      <c r="E61" s="25" t="n"/>
      <c r="F61" s="25" t="n"/>
      <c r="G61" s="25" t="n"/>
      <c r="H61" s="25" t="n"/>
      <c r="I61" s="25" t="n"/>
      <c r="J61" s="25" t="n"/>
    </row>
    <row r="62" ht="15" customHeight="1" s="17">
      <c r="A62" s="25">
        <f>ROW()-1</f>
        <v/>
      </c>
      <c r="B62" s="25" t="n"/>
      <c r="C62" s="25" t="n"/>
      <c r="D62" s="25" t="n"/>
      <c r="E62" s="25" t="n"/>
      <c r="F62" s="25" t="n"/>
      <c r="G62" s="25" t="n"/>
      <c r="H62" s="25" t="n"/>
      <c r="I62" s="25" t="n"/>
      <c r="J62" s="25" t="n"/>
    </row>
    <row r="63" ht="15" customHeight="1" s="17">
      <c r="A63" s="25">
        <f>ROW()-1</f>
        <v/>
      </c>
      <c r="B63" s="25" t="n"/>
      <c r="C63" s="25" t="n"/>
      <c r="D63" s="25" t="n"/>
      <c r="E63" s="25" t="n"/>
      <c r="F63" s="25" t="n"/>
      <c r="G63" s="25" t="n"/>
      <c r="H63" s="25" t="n"/>
      <c r="I63" s="25" t="n"/>
      <c r="J63" s="25" t="n"/>
    </row>
    <row r="64" ht="15" customHeight="1" s="17">
      <c r="A64" s="25">
        <f>ROW()-1</f>
        <v/>
      </c>
      <c r="B64" s="25" t="n"/>
      <c r="C64" s="25" t="n"/>
      <c r="D64" s="25" t="n"/>
      <c r="E64" s="25" t="n"/>
      <c r="F64" s="25" t="n"/>
      <c r="G64" s="25" t="n"/>
      <c r="H64" s="25" t="n"/>
      <c r="I64" s="25" t="n"/>
      <c r="J64" s="25" t="n"/>
    </row>
    <row r="65" ht="15" customHeight="1" s="17">
      <c r="A65" s="25">
        <f>ROW()-1</f>
        <v/>
      </c>
      <c r="B65" s="25" t="n"/>
      <c r="C65" s="25" t="n"/>
      <c r="D65" s="25" t="n"/>
      <c r="E65" s="25" t="n"/>
      <c r="F65" s="25" t="n"/>
      <c r="G65" s="25" t="n"/>
      <c r="H65" s="25" t="n"/>
      <c r="I65" s="25" t="n"/>
      <c r="J65" s="25" t="n"/>
    </row>
    <row r="66" ht="15" customHeight="1" s="17">
      <c r="A66" s="25">
        <f>ROW()-1</f>
        <v/>
      </c>
      <c r="B66" s="25" t="n"/>
      <c r="C66" s="25" t="n"/>
      <c r="D66" s="25" t="n"/>
      <c r="E66" s="25" t="n"/>
      <c r="F66" s="25" t="n"/>
      <c r="G66" s="25" t="n"/>
      <c r="H66" s="25" t="n"/>
      <c r="I66" s="25" t="n"/>
      <c r="J66" s="25" t="n"/>
    </row>
    <row r="67" ht="15" customHeight="1" s="17">
      <c r="A67" s="25">
        <f>ROW()-1</f>
        <v/>
      </c>
      <c r="B67" s="25" t="n"/>
      <c r="C67" s="25" t="n"/>
      <c r="D67" s="25" t="n"/>
      <c r="E67" s="25" t="n"/>
      <c r="F67" s="25" t="n"/>
      <c r="G67" s="25" t="n"/>
      <c r="H67" s="25" t="n"/>
      <c r="I67" s="25" t="n"/>
      <c r="J67" s="25" t="n"/>
    </row>
    <row r="68" ht="15" customHeight="1" s="17">
      <c r="A68" s="25">
        <f>ROW()-1</f>
        <v/>
      </c>
      <c r="B68" s="25" t="n"/>
      <c r="C68" s="25" t="n"/>
      <c r="D68" s="25" t="n"/>
      <c r="E68" s="25" t="n"/>
      <c r="F68" s="25" t="n"/>
      <c r="G68" s="25" t="n"/>
      <c r="H68" s="25" t="n"/>
      <c r="I68" s="25" t="n"/>
      <c r="J68" s="25" t="n"/>
    </row>
    <row r="69" ht="15" customHeight="1" s="17">
      <c r="A69" s="25">
        <f>ROW()-1</f>
        <v/>
      </c>
      <c r="B69" s="25" t="n"/>
      <c r="C69" s="25" t="n"/>
      <c r="D69" s="25" t="n"/>
      <c r="E69" s="25" t="n"/>
      <c r="F69" s="25" t="n"/>
      <c r="G69" s="25" t="n"/>
      <c r="H69" s="25" t="n"/>
      <c r="I69" s="25" t="n"/>
      <c r="J69" s="25" t="n"/>
    </row>
    <row r="70" ht="15" customHeight="1" s="17">
      <c r="A70" s="25">
        <f>ROW()-1</f>
        <v/>
      </c>
      <c r="B70" s="25" t="n"/>
      <c r="C70" s="25" t="n"/>
      <c r="D70" s="25" t="n"/>
      <c r="E70" s="25" t="n"/>
      <c r="F70" s="25" t="n"/>
      <c r="G70" s="25" t="n"/>
      <c r="H70" s="25" t="n"/>
      <c r="I70" s="25" t="n"/>
      <c r="J70" s="25" t="n"/>
    </row>
    <row r="71" ht="15" customHeight="1" s="17">
      <c r="A71" s="25">
        <f>ROW()-1</f>
        <v/>
      </c>
      <c r="B71" s="25" t="n"/>
      <c r="C71" s="25" t="n"/>
      <c r="D71" s="25" t="n"/>
      <c r="E71" s="25" t="n"/>
      <c r="F71" s="25" t="n"/>
      <c r="G71" s="25" t="n"/>
      <c r="H71" s="25" t="n"/>
      <c r="I71" s="25" t="n"/>
      <c r="J71" s="25" t="n"/>
    </row>
    <row r="72" ht="15" customHeight="1" s="17">
      <c r="A72" s="25">
        <f>ROW()-1</f>
        <v/>
      </c>
      <c r="B72" s="25" t="n"/>
      <c r="C72" s="25" t="n"/>
      <c r="D72" s="25" t="n"/>
      <c r="E72" s="25" t="n"/>
      <c r="F72" s="25" t="n"/>
      <c r="G72" s="25" t="n"/>
      <c r="H72" s="25" t="n"/>
      <c r="I72" s="25" t="n"/>
      <c r="J72" s="25" t="n"/>
    </row>
    <row r="73" ht="15" customHeight="1" s="17">
      <c r="A73" s="25">
        <f>ROW()-1</f>
        <v/>
      </c>
      <c r="B73" s="25" t="n"/>
      <c r="C73" s="25" t="n"/>
      <c r="D73" s="25" t="n"/>
      <c r="E73" s="25" t="n"/>
      <c r="F73" s="25" t="n"/>
      <c r="G73" s="25" t="n"/>
      <c r="H73" s="25" t="n"/>
      <c r="I73" s="25" t="n"/>
      <c r="J73" s="25" t="n"/>
    </row>
    <row r="74" ht="15" customHeight="1" s="17">
      <c r="A74" s="25">
        <f>ROW()-1</f>
        <v/>
      </c>
      <c r="B74" s="25" t="n"/>
      <c r="C74" s="25" t="n"/>
      <c r="D74" s="25" t="n"/>
      <c r="E74" s="25" t="n"/>
      <c r="F74" s="25" t="n"/>
      <c r="G74" s="25" t="n"/>
      <c r="H74" s="25" t="n"/>
      <c r="I74" s="25" t="n"/>
      <c r="J74" s="25" t="n"/>
    </row>
    <row r="75" ht="15" customHeight="1" s="17">
      <c r="A75" s="25">
        <f>ROW()-1</f>
        <v/>
      </c>
      <c r="B75" s="25" t="n"/>
      <c r="C75" s="25" t="n"/>
      <c r="D75" s="25" t="n"/>
      <c r="E75" s="25" t="n"/>
      <c r="F75" s="25" t="n"/>
      <c r="G75" s="25" t="n"/>
      <c r="H75" s="25" t="n"/>
      <c r="I75" s="25" t="n"/>
      <c r="J75" s="25" t="n"/>
    </row>
    <row r="76" ht="15" customHeight="1" s="17">
      <c r="A76" s="25">
        <f>ROW()-1</f>
        <v/>
      </c>
      <c r="B76" s="25" t="n"/>
      <c r="C76" s="25" t="n"/>
      <c r="D76" s="25" t="n"/>
      <c r="E76" s="25" t="n"/>
      <c r="F76" s="25" t="n"/>
      <c r="G76" s="25" t="n"/>
      <c r="H76" s="25" t="n"/>
      <c r="I76" s="25" t="n"/>
      <c r="J76" s="25" t="n"/>
    </row>
    <row r="77" ht="15" customHeight="1" s="17">
      <c r="A77" s="25">
        <f>ROW()-1</f>
        <v/>
      </c>
      <c r="B77" s="25" t="n"/>
      <c r="C77" s="25" t="n"/>
      <c r="D77" s="25" t="n"/>
      <c r="E77" s="25" t="n"/>
      <c r="F77" s="25" t="n"/>
      <c r="G77" s="25" t="n"/>
      <c r="H77" s="25" t="n"/>
      <c r="I77" s="25" t="n"/>
      <c r="J77" s="25" t="n"/>
    </row>
    <row r="78" ht="15" customHeight="1" s="17">
      <c r="A78" s="25">
        <f>ROW()-1</f>
        <v/>
      </c>
      <c r="B78" s="25" t="n"/>
      <c r="C78" s="25" t="n"/>
      <c r="D78" s="25" t="n"/>
      <c r="E78" s="25" t="n"/>
      <c r="F78" s="25" t="n"/>
      <c r="G78" s="25" t="n"/>
      <c r="H78" s="25" t="n"/>
      <c r="I78" s="25" t="n"/>
      <c r="J78" s="25" t="n"/>
    </row>
    <row r="79" ht="15" customHeight="1" s="17">
      <c r="A79" s="25">
        <f>ROW()-1</f>
        <v/>
      </c>
      <c r="B79" s="25" t="n"/>
      <c r="C79" s="25" t="n"/>
      <c r="D79" s="25" t="n"/>
      <c r="E79" s="25" t="n"/>
      <c r="F79" s="25" t="n"/>
      <c r="G79" s="25" t="n"/>
      <c r="H79" s="25" t="n"/>
      <c r="I79" s="25" t="n"/>
      <c r="J79" s="25" t="n"/>
    </row>
    <row r="80" ht="15" customHeight="1" s="17">
      <c r="A80" s="25">
        <f>ROW()-1</f>
        <v/>
      </c>
      <c r="B80" s="25" t="n"/>
      <c r="C80" s="25" t="n"/>
      <c r="D80" s="25" t="n"/>
      <c r="E80" s="25" t="n"/>
      <c r="F80" s="25" t="n"/>
      <c r="G80" s="25" t="n"/>
      <c r="H80" s="25" t="n"/>
      <c r="I80" s="25" t="n"/>
      <c r="J80" s="25" t="n"/>
    </row>
    <row r="81" ht="15" customHeight="1" s="17">
      <c r="A81" s="25">
        <f>ROW()-1</f>
        <v/>
      </c>
      <c r="B81" s="25" t="n"/>
      <c r="C81" s="25" t="n"/>
      <c r="D81" s="25" t="n"/>
      <c r="E81" s="25" t="n"/>
      <c r="F81" s="25" t="n"/>
      <c r="G81" s="25" t="n"/>
      <c r="H81" s="25" t="n"/>
      <c r="I81" s="25" t="n"/>
      <c r="J81" s="25" t="n"/>
    </row>
    <row r="82" ht="15" customHeight="1" s="17">
      <c r="A82" s="25">
        <f>ROW()-1</f>
        <v/>
      </c>
      <c r="B82" s="25" t="n"/>
      <c r="C82" s="25" t="n"/>
      <c r="D82" s="25" t="n"/>
      <c r="E82" s="25" t="n"/>
      <c r="F82" s="25" t="n"/>
      <c r="G82" s="25" t="n"/>
      <c r="H82" s="25" t="n"/>
      <c r="I82" s="25" t="n"/>
      <c r="J82" s="25" t="n"/>
    </row>
    <row r="83" ht="15" customHeight="1" s="17">
      <c r="A83" s="25">
        <f>ROW()-1</f>
        <v/>
      </c>
      <c r="B83" s="25" t="n"/>
      <c r="C83" s="25" t="n"/>
      <c r="D83" s="25" t="n"/>
      <c r="E83" s="25" t="n"/>
      <c r="F83" s="25" t="n"/>
      <c r="G83" s="25" t="n"/>
      <c r="H83" s="25" t="n"/>
      <c r="I83" s="25" t="n"/>
      <c r="J83" s="25" t="n"/>
    </row>
    <row r="84" ht="15" customHeight="1" s="17">
      <c r="A84" s="25">
        <f>ROW()-1</f>
        <v/>
      </c>
      <c r="B84" s="25" t="n"/>
      <c r="C84" s="25" t="n"/>
      <c r="D84" s="25" t="n"/>
      <c r="E84" s="25" t="n"/>
      <c r="F84" s="25" t="n"/>
      <c r="G84" s="25" t="n"/>
      <c r="H84" s="25" t="n"/>
      <c r="I84" s="25" t="n"/>
      <c r="J84" s="25" t="n"/>
    </row>
    <row r="85" ht="15" customHeight="1" s="17">
      <c r="A85" s="25">
        <f>ROW()-1</f>
        <v/>
      </c>
      <c r="B85" s="25" t="n"/>
      <c r="C85" s="25" t="n"/>
      <c r="D85" s="25" t="n"/>
      <c r="E85" s="25" t="n"/>
      <c r="F85" s="25" t="n"/>
      <c r="G85" s="25" t="n"/>
      <c r="H85" s="25" t="n"/>
      <c r="I85" s="25" t="n"/>
      <c r="J85" s="25" t="n"/>
    </row>
    <row r="86" ht="15" customHeight="1" s="17">
      <c r="A86" s="25">
        <f>ROW()-1</f>
        <v/>
      </c>
      <c r="B86" s="25" t="n"/>
      <c r="C86" s="25" t="n"/>
      <c r="D86" s="25" t="n"/>
      <c r="E86" s="25" t="n"/>
      <c r="F86" s="25" t="n"/>
      <c r="G86" s="25" t="n"/>
      <c r="H86" s="25" t="n"/>
      <c r="I86" s="25" t="n"/>
      <c r="J86" s="25" t="n"/>
    </row>
    <row r="87" ht="15" customHeight="1" s="17">
      <c r="A87" s="25">
        <f>ROW()-1</f>
        <v/>
      </c>
      <c r="B87" s="25" t="n"/>
      <c r="C87" s="25" t="n"/>
      <c r="D87" s="25" t="n"/>
      <c r="E87" s="25" t="n"/>
      <c r="F87" s="25" t="n"/>
      <c r="G87" s="25" t="n"/>
      <c r="H87" s="25" t="n"/>
      <c r="I87" s="25" t="n"/>
      <c r="J87" s="25" t="n"/>
    </row>
    <row r="88" ht="15" customHeight="1" s="17">
      <c r="A88" s="25">
        <f>ROW()-1</f>
        <v/>
      </c>
      <c r="B88" s="25" t="n"/>
      <c r="C88" s="25" t="n"/>
      <c r="D88" s="25" t="n"/>
      <c r="E88" s="25" t="n"/>
      <c r="F88" s="25" t="n"/>
      <c r="G88" s="25" t="n"/>
      <c r="H88" s="25" t="n"/>
      <c r="I88" s="25" t="n"/>
      <c r="J88" s="25" t="n"/>
    </row>
    <row r="89" ht="15" customHeight="1" s="17">
      <c r="A89" s="25">
        <f>ROW()-1</f>
        <v/>
      </c>
      <c r="B89" s="25" t="n"/>
      <c r="C89" s="25" t="n"/>
      <c r="D89" s="25" t="n"/>
      <c r="E89" s="25" t="n"/>
      <c r="F89" s="25" t="n"/>
      <c r="G89" s="25" t="n"/>
      <c r="H89" s="25" t="n"/>
      <c r="I89" s="25" t="n"/>
      <c r="J89" s="25" t="n"/>
    </row>
    <row r="90" ht="15" customHeight="1" s="17">
      <c r="A90" s="25">
        <f>ROW()-1</f>
        <v/>
      </c>
      <c r="B90" s="25" t="n"/>
      <c r="C90" s="25" t="n"/>
      <c r="D90" s="25" t="n"/>
      <c r="E90" s="25" t="n"/>
      <c r="F90" s="25" t="n"/>
      <c r="G90" s="25" t="n"/>
      <c r="H90" s="25" t="n"/>
      <c r="I90" s="25" t="n"/>
      <c r="J90" s="25" t="n"/>
    </row>
    <row r="91" ht="15" customHeight="1" s="17">
      <c r="A91" s="25">
        <f>ROW()-1</f>
        <v/>
      </c>
      <c r="B91" s="25" t="n"/>
      <c r="C91" s="25" t="n"/>
      <c r="D91" s="25" t="n"/>
      <c r="E91" s="25" t="n"/>
      <c r="F91" s="25" t="n"/>
      <c r="G91" s="25" t="n"/>
      <c r="H91" s="25" t="n"/>
      <c r="I91" s="25" t="n"/>
      <c r="J91" s="25" t="n"/>
    </row>
    <row r="92" ht="15" customHeight="1" s="17">
      <c r="A92" s="25">
        <f>ROW()-1</f>
        <v/>
      </c>
      <c r="B92" s="25" t="n"/>
      <c r="C92" s="25" t="n"/>
      <c r="D92" s="25" t="n"/>
      <c r="E92" s="25" t="n"/>
      <c r="F92" s="25" t="n"/>
      <c r="G92" s="25" t="n"/>
      <c r="H92" s="25" t="n"/>
      <c r="I92" s="25" t="n"/>
      <c r="J92" s="25" t="n"/>
    </row>
    <row r="93" ht="15" customHeight="1" s="17">
      <c r="A93" s="25">
        <f>ROW()-1</f>
        <v/>
      </c>
      <c r="B93" s="25" t="n"/>
      <c r="C93" s="25" t="n"/>
      <c r="D93" s="25" t="n"/>
      <c r="E93" s="25" t="n"/>
      <c r="F93" s="25" t="n"/>
      <c r="G93" s="25" t="n"/>
      <c r="H93" s="25" t="n"/>
      <c r="I93" s="25" t="n"/>
      <c r="J93" s="25" t="n"/>
    </row>
    <row r="94" ht="15" customHeight="1" s="17">
      <c r="A94" s="25">
        <f>ROW()-1</f>
        <v/>
      </c>
      <c r="B94" s="25" t="n"/>
      <c r="C94" s="25" t="n"/>
      <c r="D94" s="25" t="n"/>
      <c r="E94" s="25" t="n"/>
      <c r="F94" s="25" t="n"/>
      <c r="G94" s="25" t="n"/>
      <c r="H94" s="25" t="n"/>
      <c r="I94" s="25" t="n"/>
      <c r="J94" s="25" t="n"/>
    </row>
    <row r="95" ht="15" customHeight="1" s="17">
      <c r="A95" s="25">
        <f>ROW()-1</f>
        <v/>
      </c>
      <c r="B95" s="25" t="n"/>
      <c r="C95" s="25" t="n"/>
      <c r="D95" s="25" t="n"/>
      <c r="E95" s="25" t="n"/>
      <c r="F95" s="25" t="n"/>
      <c r="G95" s="25" t="n"/>
      <c r="H95" s="25" t="n"/>
      <c r="I95" s="25" t="n"/>
      <c r="J95" s="25" t="n"/>
    </row>
    <row r="96" ht="15" customHeight="1" s="17">
      <c r="A96" s="25">
        <f>ROW()-1</f>
        <v/>
      </c>
      <c r="B96" s="25" t="n"/>
      <c r="C96" s="25" t="n"/>
      <c r="D96" s="25" t="n"/>
      <c r="E96" s="25" t="n"/>
      <c r="F96" s="25" t="n"/>
      <c r="G96" s="25" t="n"/>
      <c r="H96" s="25" t="n"/>
      <c r="I96" s="25" t="n"/>
      <c r="J96" s="25" t="n"/>
    </row>
    <row r="97" ht="15" customHeight="1" s="17">
      <c r="A97" s="25">
        <f>ROW()-1</f>
        <v/>
      </c>
      <c r="B97" s="25" t="n"/>
      <c r="C97" s="25" t="n"/>
      <c r="D97" s="25" t="n"/>
      <c r="E97" s="25" t="n"/>
      <c r="F97" s="25" t="n"/>
      <c r="G97" s="25" t="n"/>
      <c r="H97" s="25" t="n"/>
      <c r="I97" s="25" t="n"/>
      <c r="J97" s="25" t="n"/>
    </row>
    <row r="98" ht="15" customHeight="1" s="17">
      <c r="A98" s="25">
        <f>ROW()-1</f>
        <v/>
      </c>
      <c r="B98" s="25" t="n"/>
      <c r="C98" s="25" t="n"/>
      <c r="D98" s="25" t="n"/>
      <c r="E98" s="25" t="n"/>
      <c r="F98" s="25" t="n"/>
      <c r="G98" s="25" t="n"/>
      <c r="H98" s="25" t="n"/>
      <c r="I98" s="25" t="n"/>
      <c r="J98" s="25" t="n"/>
    </row>
    <row r="99" ht="15" customHeight="1" s="17">
      <c r="A99" s="25">
        <f>ROW()-1</f>
        <v/>
      </c>
      <c r="B99" s="25" t="n"/>
      <c r="C99" s="25" t="n"/>
      <c r="D99" s="25" t="n"/>
      <c r="E99" s="25" t="n"/>
      <c r="F99" s="25" t="n"/>
      <c r="G99" s="25" t="n"/>
      <c r="H99" s="25" t="n"/>
      <c r="I99" s="25" t="n"/>
      <c r="J99" s="25" t="n"/>
    </row>
    <row r="100" ht="15" customHeight="1" s="17">
      <c r="A100" s="25">
        <f>ROW()-1</f>
        <v/>
      </c>
      <c r="B100" s="25" t="n"/>
      <c r="C100" s="25" t="n"/>
      <c r="D100" s="25" t="n"/>
      <c r="E100" s="25" t="n"/>
      <c r="F100" s="25" t="n"/>
      <c r="G100" s="25" t="n"/>
      <c r="H100" s="25" t="n"/>
      <c r="I100" s="25" t="n"/>
      <c r="J100" s="25" t="n"/>
    </row>
    <row r="101" ht="15" customHeight="1" s="17">
      <c r="A101" s="25">
        <f>ROW()-1</f>
        <v/>
      </c>
      <c r="B101" s="25" t="n"/>
      <c r="C101" s="25" t="n"/>
      <c r="D101" s="25" t="n"/>
      <c r="E101" s="25" t="n"/>
      <c r="F101" s="25" t="n"/>
      <c r="G101" s="25" t="n"/>
      <c r="H101" s="25" t="n"/>
      <c r="I101" s="25" t="n"/>
      <c r="J101" s="25" t="n"/>
    </row>
    <row r="102" ht="15" customHeight="1" s="17">
      <c r="A102" s="25">
        <f>ROW()-1</f>
        <v/>
      </c>
      <c r="B102" s="25" t="n"/>
      <c r="C102" s="25" t="n"/>
      <c r="D102" s="25" t="n"/>
      <c r="E102" s="25" t="n"/>
      <c r="F102" s="25" t="n"/>
      <c r="G102" s="25" t="n"/>
      <c r="H102" s="25" t="n"/>
      <c r="I102" s="25" t="n"/>
      <c r="J102" s="25" t="n"/>
    </row>
    <row r="103" ht="15" customHeight="1" s="17">
      <c r="A103" s="25">
        <f>ROW()-1</f>
        <v/>
      </c>
      <c r="B103" s="25" t="n"/>
      <c r="C103" s="25" t="n"/>
      <c r="D103" s="25" t="n"/>
      <c r="E103" s="25" t="n"/>
      <c r="F103" s="25" t="n"/>
      <c r="G103" s="25" t="n"/>
      <c r="H103" s="25" t="n"/>
      <c r="I103" s="25" t="n"/>
      <c r="J103" s="25" t="n"/>
    </row>
    <row r="104" ht="15" customHeight="1" s="17">
      <c r="A104" s="25">
        <f>ROW()-1</f>
        <v/>
      </c>
      <c r="B104" s="25" t="n"/>
      <c r="C104" s="25" t="n"/>
      <c r="D104" s="25" t="n"/>
      <c r="E104" s="25" t="n"/>
      <c r="F104" s="25" t="n"/>
      <c r="G104" s="25" t="n"/>
      <c r="H104" s="25" t="n"/>
      <c r="I104" s="25" t="n"/>
      <c r="J104" s="25" t="n"/>
    </row>
    <row r="105" ht="15" customHeight="1" s="17">
      <c r="A105" s="25">
        <f>ROW()-1</f>
        <v/>
      </c>
      <c r="B105" s="25" t="n"/>
      <c r="C105" s="25" t="n"/>
      <c r="D105" s="25" t="n"/>
      <c r="E105" s="25" t="n"/>
      <c r="F105" s="25" t="n"/>
      <c r="G105" s="25" t="n"/>
      <c r="H105" s="25" t="n"/>
      <c r="I105" s="25" t="n"/>
      <c r="J105" s="25" t="n"/>
    </row>
    <row r="106" ht="15" customHeight="1" s="17">
      <c r="A106" s="25">
        <f>ROW()-1</f>
        <v/>
      </c>
      <c r="B106" s="25" t="n"/>
      <c r="C106" s="25" t="n"/>
      <c r="D106" s="25" t="n"/>
      <c r="E106" s="25" t="n"/>
      <c r="F106" s="25" t="n"/>
      <c r="G106" s="25" t="n"/>
      <c r="H106" s="25" t="n"/>
      <c r="I106" s="25" t="n"/>
      <c r="J106" s="25" t="n"/>
    </row>
    <row r="107" ht="15" customHeight="1" s="17">
      <c r="A107" s="25">
        <f>ROW()-1</f>
        <v/>
      </c>
      <c r="B107" s="25" t="n"/>
      <c r="C107" s="25" t="n"/>
      <c r="D107" s="25" t="n"/>
      <c r="E107" s="25" t="n"/>
      <c r="F107" s="25" t="n"/>
      <c r="G107" s="25" t="n"/>
      <c r="H107" s="25" t="n"/>
      <c r="I107" s="25" t="n"/>
      <c r="J107" s="25" t="n"/>
    </row>
    <row r="108" ht="15" customHeight="1" s="17">
      <c r="A108" s="25">
        <f>ROW()-1</f>
        <v/>
      </c>
      <c r="B108" s="25" t="n"/>
      <c r="C108" s="25" t="n"/>
      <c r="D108" s="25" t="n"/>
      <c r="E108" s="25" t="n"/>
      <c r="F108" s="25" t="n"/>
      <c r="G108" s="25" t="n"/>
      <c r="H108" s="25" t="n"/>
      <c r="I108" s="25" t="n"/>
      <c r="J108" s="25" t="n"/>
    </row>
    <row r="109" ht="15" customHeight="1" s="17">
      <c r="A109" s="25">
        <f>ROW()-1</f>
        <v/>
      </c>
      <c r="B109" s="25" t="n"/>
      <c r="C109" s="25" t="n"/>
      <c r="D109" s="25" t="n"/>
      <c r="E109" s="25" t="n"/>
      <c r="F109" s="25" t="n"/>
      <c r="G109" s="25" t="n"/>
      <c r="H109" s="25" t="n"/>
      <c r="I109" s="25" t="n"/>
      <c r="J109" s="25" t="n"/>
    </row>
    <row r="110" ht="15" customHeight="1" s="17">
      <c r="A110" s="25">
        <f>ROW()-1</f>
        <v/>
      </c>
      <c r="B110" s="25" t="n"/>
      <c r="C110" s="25" t="n"/>
      <c r="D110" s="25" t="n"/>
      <c r="E110" s="25" t="n"/>
      <c r="F110" s="25" t="n"/>
      <c r="G110" s="25" t="n"/>
      <c r="H110" s="25" t="n"/>
      <c r="I110" s="25" t="n"/>
      <c r="J110" s="25" t="n"/>
    </row>
    <row r="111" ht="15" customHeight="1" s="17">
      <c r="A111" s="25">
        <f>ROW()-1</f>
        <v/>
      </c>
      <c r="B111" s="25" t="n"/>
      <c r="C111" s="25" t="n"/>
      <c r="D111" s="25" t="n"/>
      <c r="E111" s="25" t="n"/>
      <c r="F111" s="25" t="n"/>
      <c r="G111" s="25" t="n"/>
      <c r="H111" s="25" t="n"/>
      <c r="I111" s="25" t="n"/>
      <c r="J111" s="25" t="n"/>
    </row>
    <row r="112" ht="15" customHeight="1" s="17">
      <c r="A112" s="25">
        <f>ROW()-1</f>
        <v/>
      </c>
      <c r="B112" s="25" t="n"/>
      <c r="C112" s="25" t="n"/>
      <c r="D112" s="25" t="n"/>
      <c r="E112" s="25" t="n"/>
      <c r="F112" s="25" t="n"/>
      <c r="G112" s="25" t="n"/>
      <c r="H112" s="25" t="n"/>
      <c r="I112" s="25" t="n"/>
      <c r="J112" s="25" t="n"/>
    </row>
    <row r="113" ht="15" customHeight="1" s="17">
      <c r="A113" s="25">
        <f>ROW()-1</f>
        <v/>
      </c>
      <c r="B113" s="25" t="n"/>
      <c r="C113" s="25" t="n"/>
      <c r="D113" s="25" t="n"/>
      <c r="E113" s="25" t="n"/>
      <c r="F113" s="25" t="n"/>
      <c r="G113" s="25" t="n"/>
      <c r="H113" s="25" t="n"/>
      <c r="I113" s="25" t="n"/>
      <c r="J113" s="25" t="n"/>
    </row>
    <row r="114" ht="15" customHeight="1" s="17">
      <c r="A114" s="25">
        <f>ROW()-1</f>
        <v/>
      </c>
      <c r="B114" s="25" t="n"/>
      <c r="C114" s="25" t="n"/>
      <c r="D114" s="25" t="n"/>
      <c r="E114" s="25" t="n"/>
      <c r="F114" s="25" t="n"/>
      <c r="G114" s="25" t="n"/>
      <c r="H114" s="25" t="n"/>
      <c r="I114" s="25" t="n"/>
      <c r="J114" s="25" t="n"/>
    </row>
    <row r="115" ht="15" customHeight="1" s="17">
      <c r="A115" s="25">
        <f>ROW()-1</f>
        <v/>
      </c>
      <c r="B115" s="25" t="n"/>
      <c r="C115" s="25" t="n"/>
      <c r="D115" s="25" t="n"/>
      <c r="E115" s="25" t="n"/>
      <c r="F115" s="25" t="n"/>
      <c r="G115" s="25" t="n"/>
      <c r="H115" s="25" t="n"/>
      <c r="I115" s="25" t="n"/>
      <c r="J115" s="25" t="n"/>
    </row>
    <row r="116" ht="15" customHeight="1" s="17">
      <c r="A116" s="25">
        <f>ROW()-1</f>
        <v/>
      </c>
      <c r="B116" s="25" t="n"/>
      <c r="C116" s="25" t="n"/>
      <c r="D116" s="25" t="n"/>
      <c r="E116" s="25" t="n"/>
      <c r="F116" s="25" t="n"/>
      <c r="G116" s="25" t="n"/>
      <c r="H116" s="25" t="n"/>
      <c r="I116" s="25" t="n"/>
      <c r="J116" s="25" t="n"/>
    </row>
    <row r="117" ht="15" customHeight="1" s="17">
      <c r="A117" s="25">
        <f>ROW()-1</f>
        <v/>
      </c>
      <c r="B117" s="25" t="n"/>
      <c r="C117" s="25" t="n"/>
      <c r="D117" s="25" t="n"/>
      <c r="E117" s="25" t="n"/>
      <c r="F117" s="25" t="n"/>
      <c r="G117" s="25" t="n"/>
      <c r="H117" s="25" t="n"/>
      <c r="I117" s="25" t="n"/>
      <c r="J117" s="25" t="n"/>
    </row>
    <row r="118" ht="15" customHeight="1" s="17">
      <c r="A118" s="25">
        <f>ROW()-1</f>
        <v/>
      </c>
      <c r="B118" s="25" t="n"/>
      <c r="C118" s="25" t="n"/>
      <c r="D118" s="25" t="n"/>
      <c r="E118" s="25" t="n"/>
      <c r="F118" s="25" t="n"/>
      <c r="G118" s="25" t="n"/>
      <c r="H118" s="25" t="n"/>
      <c r="I118" s="25" t="n"/>
      <c r="J118" s="25" t="n"/>
    </row>
    <row r="119" ht="15" customHeight="1" s="17">
      <c r="A119" s="25">
        <f>ROW()-1</f>
        <v/>
      </c>
      <c r="B119" s="25" t="n"/>
      <c r="C119" s="25" t="n"/>
      <c r="D119" s="25" t="n"/>
      <c r="E119" s="25" t="n"/>
      <c r="F119" s="25" t="n"/>
      <c r="G119" s="25" t="n"/>
      <c r="H119" s="25" t="n"/>
      <c r="I119" s="25" t="n"/>
      <c r="J119" s="25" t="n"/>
    </row>
    <row r="120" ht="15" customHeight="1" s="17">
      <c r="A120" s="25">
        <f>ROW()-1</f>
        <v/>
      </c>
      <c r="B120" s="25" t="n"/>
      <c r="C120" s="25" t="n"/>
      <c r="D120" s="25" t="n"/>
      <c r="E120" s="25" t="n"/>
      <c r="F120" s="25" t="n"/>
      <c r="G120" s="25" t="n"/>
      <c r="H120" s="25" t="n"/>
      <c r="I120" s="25" t="n"/>
      <c r="J120" s="25" t="n"/>
    </row>
    <row r="121" ht="15" customHeight="1" s="17">
      <c r="A121" s="25">
        <f>ROW()-1</f>
        <v/>
      </c>
      <c r="B121" s="25" t="n"/>
      <c r="C121" s="25" t="n"/>
      <c r="D121" s="25" t="n"/>
      <c r="E121" s="25" t="n"/>
      <c r="F121" s="25" t="n"/>
      <c r="G121" s="25" t="n"/>
      <c r="H121" s="25" t="n"/>
      <c r="I121" s="25" t="n"/>
      <c r="J121" s="25" t="n"/>
    </row>
    <row r="122" ht="15" customHeight="1" s="17">
      <c r="A122" s="25">
        <f>ROW()-1</f>
        <v/>
      </c>
      <c r="B122" s="25" t="n"/>
      <c r="C122" s="25" t="n"/>
      <c r="D122" s="25" t="n"/>
      <c r="E122" s="25" t="n"/>
      <c r="F122" s="25" t="n"/>
      <c r="G122" s="25" t="n"/>
      <c r="H122" s="25" t="n"/>
      <c r="I122" s="25" t="n"/>
      <c r="J122" s="25" t="n"/>
    </row>
  </sheetData>
  <dataValidations count="4">
    <dataValidation sqref="G2:G122" showDropDown="0" showInputMessage="0" showErrorMessage="0" allowBlank="1" errorTitle="Invalid category" error="Choose one of the seven project categories." type="list" errorStyle="stop" operator="between">
      <formula1>"AI-related threats,Privacy risks,Security risks,Human/organizational risks,Governance risks,Compliance risks,Security controls"</formula1>
      <formula2>0</formula2>
    </dataValidation>
    <dataValidation sqref="F2:F122" showDropDown="0" showInputMessage="0" showErrorMessage="0" allowBlank="1" type="list" errorStyle="stop" operator="between">
      <formula1>"Journal article,Conference paper,Standards/technical report,Government publication,Preprint,Other"</formula1>
      <formula2>0</formula2>
    </dataValidation>
    <dataValidation sqref="E2:E122" showDropDown="0" showInputMessage="0" showErrorMessage="0" allowBlank="1" type="list" errorStyle="stop" operator="between">
      <formula1>"IEEE Xplore,ACM Digital Library,Scopus,Web of Science,Google Scholar,NIST,ENISA,EUR-Lex / EU Official Journal"</formula1>
      <formula2>0</formula2>
    </dataValidation>
    <dataValidation sqref="H2:H122" showDropDown="0" showInputMessage="0" showErrorMessage="0" allowBlank="1" errorTitle="Invalid decision" error="Choose Include or Exclude." type="list" errorStyle="stop" operator="between">
      <formula1>"Include,Exclude"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4" customWidth="1" style="16" min="2" max="2"/>
    <col width="50" customWidth="1" style="16" min="3" max="3"/>
  </cols>
  <sheetData>
    <row r="1" ht="17.35" customHeight="1" s="17">
      <c r="A1" s="18" t="inlineStr">
        <is>
          <t>Progress Summary</t>
        </is>
      </c>
    </row>
    <row r="2" ht="27.75" customHeight="1" s="17">
      <c r="A2" s="26" t="inlineStr">
        <is>
          <t>All figures below recalculate automatically from the Screening Tracker tab. Nothing here is hand-entered.</t>
        </is>
      </c>
    </row>
    <row r="4" ht="15" customHeight="1" s="17">
      <c r="A4" s="27" t="inlineStr">
        <is>
          <t>Metric</t>
        </is>
      </c>
      <c r="B4" s="27" t="inlineStr">
        <is>
          <t>Value</t>
        </is>
      </c>
    </row>
    <row r="5" ht="15" customHeight="1" s="17">
      <c r="A5" s="28" t="inlineStr">
        <is>
          <t>Total sources logged</t>
        </is>
      </c>
      <c r="B5" s="29">
        <f>COUNTA('Screening Tracker'!B2:B122)</f>
        <v/>
      </c>
    </row>
    <row r="6" ht="15" customHeight="1" s="17">
      <c r="A6" s="28" t="inlineStr">
        <is>
          <t>Total included</t>
        </is>
      </c>
      <c r="B6" s="29">
        <f>COUNTIF('Screening Tracker'!H2:H122,"Include")</f>
        <v/>
      </c>
    </row>
    <row r="7" ht="15" customHeight="1" s="17">
      <c r="A7" s="28" t="inlineStr">
        <is>
          <t>Total excluded</t>
        </is>
      </c>
      <c r="B7" s="29">
        <f>COUNTIF('Screening Tracker'!H2:H122,"Exclude")</f>
        <v/>
      </c>
    </row>
    <row r="8" ht="15" customHeight="1" s="17">
      <c r="A8" s="28" t="inlineStr">
        <is>
          <t>Undecided / blank Decision</t>
        </is>
      </c>
      <c r="B8" s="29">
        <f>COUNTA('Screening Tracker'!B2:B122)-COUNTIF('Screening Tracker'!H2:H122,"Include")-COUNTIF('Screening Tracker'!H2:H122,"Exclude")</f>
        <v/>
      </c>
    </row>
    <row r="9" ht="15" customHeight="1" s="17">
      <c r="A9" s="28" t="inlineStr">
        <is>
          <t>Target range (Section 4.2)</t>
        </is>
      </c>
      <c r="B9" s="29" t="inlineStr">
        <is>
          <t>40 to 80</t>
        </is>
      </c>
    </row>
    <row r="10" ht="15" customHeight="1" s="17">
      <c r="A10" s="28" t="inlineStr">
        <is>
          <t>Still needed to reach 40 (min)</t>
        </is>
      </c>
      <c r="B10" s="29">
        <f>MAX(0,40-COUNTA('Screening Tracker'!B2:B122))</f>
        <v/>
      </c>
    </row>
    <row r="11" ht="15" customHeight="1" s="17">
      <c r="A11" s="28" t="inlineStr">
        <is>
          <t>Headroom to 80 (max)</t>
        </is>
      </c>
      <c r="B11" s="29">
        <f>MAX(0,80-COUNTA('Screening Tracker'!B2:B122))</f>
        <v/>
      </c>
    </row>
    <row r="12" ht="15" customHeight="1" s="17">
      <c r="A12" s="28" t="inlineStr">
        <is>
          <t>Reason column completeness</t>
        </is>
      </c>
      <c r="B12" s="29">
        <f>COUNTA('Screening Tracker'!I2:I122)&amp;" of "&amp;COUNTA('Screening Tracker'!B2:B122)&amp;" logged sources have a reason"</f>
        <v/>
      </c>
    </row>
    <row r="14" ht="15" customHeight="1" s="17">
      <c r="A14" s="30" t="inlineStr">
        <is>
          <t>By Category</t>
        </is>
      </c>
    </row>
    <row r="15" ht="15" customHeight="1" s="17">
      <c r="A15" s="27" t="inlineStr">
        <is>
          <t>Category</t>
        </is>
      </c>
      <c r="B15" s="27" t="inlineStr">
        <is>
          <t>Included</t>
        </is>
      </c>
    </row>
    <row r="16" ht="15" customHeight="1" s="17">
      <c r="A16" s="28" t="inlineStr">
        <is>
          <t>AI-related threats</t>
        </is>
      </c>
      <c r="B16" s="29">
        <f>COUNTIFS('Screening Tracker'!G2:G122,A16,'Screening Tracker'!H2:H122,"Include")</f>
        <v/>
      </c>
    </row>
    <row r="17" ht="15" customHeight="1" s="17">
      <c r="A17" s="28" t="inlineStr">
        <is>
          <t>Privacy risks</t>
        </is>
      </c>
      <c r="B17" s="29">
        <f>COUNTIFS('Screening Tracker'!G2:G122,A17,'Screening Tracker'!H2:H122,"Include")</f>
        <v/>
      </c>
    </row>
    <row r="18" ht="15" customHeight="1" s="17">
      <c r="A18" s="28" t="inlineStr">
        <is>
          <t>Security risks</t>
        </is>
      </c>
      <c r="B18" s="29">
        <f>COUNTIFS('Screening Tracker'!G2:G122,A18,'Screening Tracker'!H2:H122,"Include")</f>
        <v/>
      </c>
    </row>
    <row r="19" ht="15" customHeight="1" s="17">
      <c r="A19" s="28" t="inlineStr">
        <is>
          <t>Human/organizational risks</t>
        </is>
      </c>
      <c r="B19" s="29">
        <f>COUNTIFS('Screening Tracker'!G2:G122,A19,'Screening Tracker'!H2:H122,"Include")</f>
        <v/>
      </c>
    </row>
    <row r="20" ht="15" customHeight="1" s="17">
      <c r="A20" s="28" t="inlineStr">
        <is>
          <t>Governance risks</t>
        </is>
      </c>
      <c r="B20" s="29">
        <f>COUNTIFS('Screening Tracker'!G2:G122,A20,'Screening Tracker'!H2:H122,"Include")</f>
        <v/>
      </c>
    </row>
    <row r="21" ht="15" customHeight="1" s="17">
      <c r="A21" s="28" t="inlineStr">
        <is>
          <t>Compliance risks</t>
        </is>
      </c>
      <c r="B21" s="29">
        <f>COUNTIFS('Screening Tracker'!G2:G122,A21,'Screening Tracker'!H2:H122,"Include")</f>
        <v/>
      </c>
    </row>
    <row r="22" ht="15" customHeight="1" s="17">
      <c r="A22" s="28" t="inlineStr">
        <is>
          <t>Security controls</t>
        </is>
      </c>
      <c r="B22" s="29">
        <f>COUNTIFS('Screening Tracker'!G2:G122,A22,'Screening Tracker'!H2:H122,"Include")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6" min="1" max="1"/>
    <col width="35" customWidth="1" style="16" min="2" max="2"/>
    <col width="16" customWidth="1" style="16" min="3" max="4"/>
    <col width="12" customWidth="1" style="16" min="5" max="5"/>
    <col width="45" customWidth="1" style="16" min="6" max="6"/>
  </cols>
  <sheetData>
    <row r="1" ht="25.5" customHeight="1" s="17">
      <c r="A1" s="23" t="inlineStr">
        <is>
          <t>Tracker Row #</t>
        </is>
      </c>
      <c r="B1" s="23" t="inlineStr">
        <is>
          <t>Title (short)</t>
        </is>
      </c>
      <c r="C1" s="23" t="inlineStr">
        <is>
          <t>Original Decision</t>
        </is>
      </c>
      <c r="D1" s="23" t="inlineStr">
        <is>
          <t>Re-Check Decision</t>
        </is>
      </c>
      <c r="E1" s="23" t="inlineStr">
        <is>
          <t>Agree? (Y/N)</t>
        </is>
      </c>
      <c r="F1" s="23" t="inlineStr">
        <is>
          <t>Resolution Notes</t>
        </is>
      </c>
    </row>
    <row r="2" ht="15" customHeight="1" s="17">
      <c r="A2" s="25" t="inlineStr">
        <is>
          <t>#1 Islam et al. 2025 (explainability framework)</t>
        </is>
      </c>
      <c r="B2" s="25" t="inlineStr">
        <is>
          <t>Include</t>
        </is>
      </c>
      <c r="C2" s="25" t="inlineStr">
        <is>
          <t>Include (confirmed)</t>
        </is>
      </c>
      <c r="D2" s="25" t="inlineStr">
        <is>
          <t>Y</t>
        </is>
      </c>
      <c r="E2" s="25" t="inlineStr">
        <is>
          <t>On re-read, the explainability/interpretability framing sits across both the AI RMF Map and Govern functions, not one cleanly. Decision stands as Include; the function-level mapping ambiguity is carried into the governance-mapping pilot as a documented limit rather than resolved by picking one function.</t>
        </is>
      </c>
      <c r="F2" s="25" t="n"/>
    </row>
    <row r="3" ht="15" customHeight="1" s="17">
      <c r="A3" s="25" t="inlineStr">
        <is>
          <t>#13 Agarwal &amp; Nene 2025 (five-layer AI governance)</t>
        </is>
      </c>
      <c r="B3" s="25" t="inlineStr">
        <is>
          <t>Exclude</t>
        </is>
      </c>
      <c r="C3" s="25" t="inlineStr">
        <is>
          <t>Exclude (confirmed, after closer read)</t>
        </is>
      </c>
      <c r="D3" s="25" t="inlineStr">
        <is>
          <t>Y</t>
        </is>
      </c>
      <c r="E3" s="25" t="inlineStr">
        <is>
          <t>First pass flagged this as a possible borderline Include because it discusses incident reporting. Re-reading the summary against the inclusion rule, the paper's governance model is general (fairness, certification) and does not treat cybersecurity risk as its subject, so Exclude holds. Logged here because the first pass was genuinely uncertain, not a clear call.</t>
        </is>
      </c>
      <c r="F3" s="25" t="n"/>
    </row>
    <row r="4" ht="15" customHeight="1" s="17">
      <c r="A4" s="25" t="n"/>
      <c r="B4" s="25" t="n"/>
      <c r="C4" s="25" t="n"/>
      <c r="D4" s="25" t="n"/>
      <c r="E4" s="25" t="n"/>
      <c r="F4" s="25" t="n"/>
    </row>
    <row r="5" ht="15" customHeight="1" s="17">
      <c r="A5" s="25" t="n"/>
      <c r="B5" s="25" t="n"/>
      <c r="C5" s="25" t="n"/>
      <c r="D5" s="25" t="n"/>
      <c r="E5" s="25" t="n"/>
      <c r="F5" s="25" t="n"/>
    </row>
    <row r="6" ht="15" customHeight="1" s="17">
      <c r="A6" s="25" t="n"/>
      <c r="B6" s="25" t="n"/>
      <c r="C6" s="25" t="n"/>
      <c r="D6" s="25" t="n"/>
      <c r="E6" s="25" t="n"/>
      <c r="F6" s="25" t="n"/>
    </row>
    <row r="7" ht="15" customHeight="1" s="17">
      <c r="A7" s="25" t="n"/>
      <c r="B7" s="25" t="n"/>
      <c r="C7" s="25" t="n"/>
      <c r="D7" s="25" t="n"/>
      <c r="E7" s="25" t="n"/>
      <c r="F7" s="25" t="n"/>
    </row>
    <row r="8" ht="15" customHeight="1" s="17">
      <c r="A8" s="25" t="n"/>
      <c r="B8" s="25" t="n"/>
      <c r="C8" s="25" t="n"/>
      <c r="D8" s="25" t="n"/>
      <c r="E8" s="25" t="n"/>
      <c r="F8" s="25" t="n"/>
    </row>
    <row r="9" ht="15" customHeight="1" s="17">
      <c r="A9" s="25" t="n"/>
      <c r="B9" s="25" t="n"/>
      <c r="C9" s="25" t="n"/>
      <c r="D9" s="25" t="n"/>
      <c r="E9" s="25" t="n"/>
      <c r="F9" s="25" t="n"/>
    </row>
    <row r="10" ht="15" customHeight="1" s="17">
      <c r="A10" s="25" t="n"/>
      <c r="B10" s="25" t="n"/>
      <c r="C10" s="25" t="n"/>
      <c r="D10" s="25" t="n"/>
      <c r="E10" s="25" t="n"/>
      <c r="F10" s="25" t="n"/>
    </row>
    <row r="11" ht="15" customHeight="1" s="17">
      <c r="A11" s="25" t="n"/>
      <c r="B11" s="25" t="n"/>
      <c r="C11" s="25" t="n"/>
      <c r="D11" s="25" t="n"/>
      <c r="E11" s="25" t="n"/>
      <c r="F11" s="25" t="n"/>
    </row>
    <row r="12" ht="15" customHeight="1" s="17">
      <c r="A12" s="25" t="n"/>
      <c r="B12" s="25" t="n"/>
      <c r="C12" s="25" t="n"/>
      <c r="D12" s="25" t="n"/>
      <c r="E12" s="25" t="n"/>
      <c r="F12" s="25" t="n"/>
    </row>
    <row r="13" ht="15" customHeight="1" s="17">
      <c r="A13" s="25" t="n"/>
      <c r="B13" s="25" t="n"/>
      <c r="C13" s="25" t="n"/>
      <c r="D13" s="25" t="n"/>
      <c r="E13" s="25" t="n"/>
      <c r="F13" s="25" t="n"/>
    </row>
    <row r="14" ht="15" customHeight="1" s="17">
      <c r="A14" s="25" t="n"/>
      <c r="B14" s="25" t="n"/>
      <c r="C14" s="25" t="n"/>
      <c r="D14" s="25" t="n"/>
      <c r="E14" s="25" t="n"/>
      <c r="F14" s="25" t="n"/>
    </row>
    <row r="15" ht="15" customHeight="1" s="17">
      <c r="A15" s="25" t="n"/>
      <c r="B15" s="25" t="n"/>
      <c r="C15" s="25" t="n"/>
      <c r="D15" s="25" t="n"/>
      <c r="E15" s="25" t="n"/>
      <c r="F15" s="25" t="n"/>
    </row>
    <row r="16" ht="15" customHeight="1" s="17">
      <c r="A16" s="25" t="n"/>
      <c r="B16" s="25" t="n"/>
      <c r="C16" s="25" t="n"/>
      <c r="D16" s="25" t="n"/>
      <c r="E16" s="25" t="n"/>
      <c r="F16" s="25" t="n"/>
    </row>
    <row r="17" ht="15" customHeight="1" s="17">
      <c r="A17" s="25" t="n"/>
      <c r="B17" s="25" t="n"/>
      <c r="C17" s="25" t="n"/>
      <c r="D17" s="25" t="n"/>
      <c r="E17" s="25" t="n"/>
      <c r="F17" s="25" t="n"/>
    </row>
    <row r="18" ht="15" customHeight="1" s="17">
      <c r="A18" s="25" t="n"/>
      <c r="B18" s="25" t="n"/>
      <c r="C18" s="25" t="n"/>
      <c r="D18" s="25" t="n"/>
      <c r="E18" s="25" t="n"/>
      <c r="F18" s="25" t="n"/>
    </row>
    <row r="19" ht="15" customHeight="1" s="17">
      <c r="A19" s="25" t="n"/>
      <c r="B19" s="25" t="n"/>
      <c r="C19" s="25" t="n"/>
      <c r="D19" s="25" t="n"/>
      <c r="E19" s="25" t="n"/>
      <c r="F19" s="25" t="n"/>
    </row>
    <row r="20" ht="15" customHeight="1" s="17">
      <c r="A20" s="25" t="n"/>
      <c r="B20" s="25" t="n"/>
      <c r="C20" s="25" t="n"/>
      <c r="D20" s="25" t="n"/>
      <c r="E20" s="25" t="n"/>
      <c r="F20" s="25" t="n"/>
    </row>
    <row r="21" ht="15" customHeight="1" s="17">
      <c r="A21" s="25" t="n"/>
      <c r="B21" s="25" t="n"/>
      <c r="C21" s="25" t="n"/>
      <c r="D21" s="25" t="n"/>
      <c r="E21" s="25" t="n"/>
      <c r="F21" s="25" t="n"/>
    </row>
    <row r="24" ht="15" customHeight="1" s="17">
      <c r="A24" s="31" t="inlineStr">
        <is>
          <t>Agreement rate:</t>
        </is>
      </c>
      <c r="B24" s="20">
        <f>COUNTIF(E2:E21,"Y")&amp;" / "&amp;COUNTA(E2:E21)</f>
        <v/>
      </c>
    </row>
    <row r="25" ht="15" customHeight="1" s="17">
      <c r="A25" s="19" t="inlineStr">
        <is>
          <t>Target: ≥ 90% (Hard Stop 2, Section 4.2)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2026-10-11T02:11:53Z</dcterms:created>
  <dcterms:modified xmlns:dcterms="http://purl.org/dc/terms/" xmlns:xsi="http://www.w3.org/2001/XMLSchema-instance" xsi:type="dcterms:W3CDTF">2026-10-25T01:50:02Z</dcterms:modified>
  <cp:revision>0</cp:revision>
</cp:coreProperties>
</file>