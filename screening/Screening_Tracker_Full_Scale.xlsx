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xmlns:r="http://schemas.openxmlformats.org/officeDocument/2006/relationships" name="Instructions" sheetId="1" state="visible" r:id="rId1"/>
    <sheet xmlns:r="http://schemas.openxmlformats.org/officeDocument/2006/relationships" name="Screening Tracker" sheetId="2" state="visible" r:id="rId2"/>
    <sheet xmlns:r="http://schemas.openxmlformats.org/officeDocument/2006/relationships" name="Progress Summary" sheetId="3" state="visible" r:id="rId3"/>
    <sheet xmlns:r="http://schemas.openxmlformats.org/officeDocument/2006/relationships" name="Spot-Check Log"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Times New Roman"/>
      <charset val="1"/>
      <family val="0"/>
      <b val="1"/>
      <sz val="14"/>
    </font>
    <font>
      <name val="Times New Roman"/>
      <charset val="1"/>
      <family val="0"/>
      <i val="1"/>
      <sz val="11"/>
    </font>
    <font>
      <name val="Times New Roman"/>
      <charset val="1"/>
      <family val="0"/>
      <sz val="11"/>
    </font>
    <font>
      <name val="Times New Roman"/>
      <charset val="1"/>
      <family val="0"/>
      <b val="1"/>
      <sz val="12"/>
      <u val="single"/>
    </font>
    <font>
      <name val="Times New Roman"/>
      <charset val="1"/>
      <family val="0"/>
      <b val="1"/>
      <sz val="11"/>
    </font>
    <font>
      <name val="Times New Roman"/>
      <charset val="1"/>
      <family val="0"/>
      <i val="1"/>
      <color rgb="FF808080"/>
      <sz val="11"/>
    </font>
    <font>
      <name val="Times New Roman"/>
      <charset val="1"/>
      <family val="0"/>
      <b val="1"/>
      <sz val="12"/>
    </font>
  </fonts>
  <fills count="2">
    <fill>
      <patternFill/>
    </fill>
    <fill>
      <patternFill patternType="gray125"/>
    </fill>
  </fills>
  <borders count="2">
    <border>
      <left/>
      <right/>
      <top/>
      <bottom/>
      <diagonal/>
    </border>
    <border>
      <left style="thin"/>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2">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6" fillId="0" borderId="0" applyAlignment="1" pivotButton="0" quotePrefix="0" xfId="0">
      <alignment horizontal="general" vertical="top" wrapText="1"/>
    </xf>
    <xf numFmtId="0" fontId="8" fillId="0" borderId="1" applyAlignment="1" pivotButton="0" quotePrefix="0" xfId="0">
      <alignment horizontal="center" vertical="top" wrapText="1"/>
    </xf>
    <xf numFmtId="0" fontId="9" fillId="0" borderId="1" applyAlignment="1" pivotButton="0" quotePrefix="0" xfId="0">
      <alignment horizontal="general" vertical="top" wrapText="1"/>
    </xf>
    <xf numFmtId="0" fontId="6" fillId="0" borderId="1" applyAlignment="1" pivotButton="0" quotePrefix="0" xfId="0">
      <alignment horizontal="general" vertical="top" wrapText="1"/>
    </xf>
    <xf numFmtId="0" fontId="6" fillId="0" borderId="1" applyAlignment="1" pivotButton="0" quotePrefix="0" xfId="0">
      <alignment horizontal="general" vertical="top" wrapText="1"/>
    </xf>
    <xf numFmtId="0" fontId="5" fillId="0" borderId="0" applyAlignment="1" pivotButton="0" quotePrefix="0" xfId="0">
      <alignment horizontal="general" vertical="top" wrapText="1"/>
    </xf>
    <xf numFmtId="0" fontId="8" fillId="0" borderId="1" applyAlignment="1" pivotButton="0" quotePrefix="0" xfId="0">
      <alignment horizontal="general" vertical="bottom"/>
    </xf>
    <xf numFmtId="0" fontId="6" fillId="0" borderId="1" applyAlignment="1" pivotButton="0" quotePrefix="0" xfId="0">
      <alignment horizontal="general" vertical="bottom"/>
    </xf>
    <xf numFmtId="0" fontId="6" fillId="0" borderId="1" applyAlignment="1" pivotButton="0" quotePrefix="0" xfId="0">
      <alignment horizontal="center" vertical="bottom"/>
    </xf>
    <xf numFmtId="0" fontId="10" fillId="0" borderId="0" applyAlignment="1" pivotButton="0" quotePrefix="0" xfId="0">
      <alignment horizontal="general" vertical="bottom"/>
    </xf>
    <xf numFmtId="0" fontId="8"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6" fillId="0" borderId="0" applyAlignment="1" pivotButton="0" quotePrefix="0" xfId="0">
      <alignment horizontal="general" vertical="top" wrapText="1"/>
    </xf>
    <xf numFmtId="0" fontId="8" fillId="0" borderId="1" applyAlignment="1" pivotButton="0" quotePrefix="0" xfId="0">
      <alignment horizontal="center" vertical="top" wrapText="1"/>
    </xf>
    <xf numFmtId="0" fontId="9" fillId="0" borderId="1" applyAlignment="1" pivotButton="0" quotePrefix="0" xfId="0">
      <alignment horizontal="general" vertical="top" wrapText="1"/>
    </xf>
    <xf numFmtId="0" fontId="6" fillId="0" borderId="1" applyAlignment="1" pivotButton="0" quotePrefix="0" xfId="0">
      <alignment horizontal="general" vertical="top" wrapText="1"/>
    </xf>
    <xf numFmtId="0" fontId="5" fillId="0" borderId="0" applyAlignment="1" pivotButton="0" quotePrefix="0" xfId="0">
      <alignment horizontal="general" vertical="top" wrapText="1"/>
    </xf>
    <xf numFmtId="0" fontId="8" fillId="0" borderId="1" applyAlignment="1" pivotButton="0" quotePrefix="0" xfId="0">
      <alignment horizontal="general" vertical="bottom"/>
    </xf>
    <xf numFmtId="0" fontId="6" fillId="0" borderId="1" applyAlignment="1" pivotButton="0" quotePrefix="0" xfId="0">
      <alignment horizontal="general" vertical="bottom"/>
    </xf>
    <xf numFmtId="0" fontId="6" fillId="0" borderId="1" applyAlignment="1" pivotButton="0" quotePrefix="0" xfId="0">
      <alignment horizontal="center" vertical="bottom"/>
    </xf>
    <xf numFmtId="0" fontId="10" fillId="0" borderId="0" applyAlignment="1" pivotButton="0" quotePrefix="0" xfId="0">
      <alignment horizontal="general" vertical="bottom"/>
    </xf>
    <xf numFmtId="0" fontId="8"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2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0" customWidth="1" style="16" min="1" max="1"/>
  </cols>
  <sheetData>
    <row r="1" ht="17.35" customHeight="1" s="17">
      <c r="A1" s="18" t="inlineStr">
        <is>
          <t>Screening Tracker — Full-Scale Screening</t>
        </is>
      </c>
    </row>
    <row r="3" ht="15" customHeight="1" s="17">
      <c r="A3" s="19" t="inlineStr">
        <is>
          <t>CISE 699 — AI-Driven Cybersecurity Risk Management: A Systematic Review of Emerging Threats, Security Controls, and Governance Challenges</t>
        </is>
      </c>
    </row>
    <row r="4" ht="15" customHeight="1" s="17">
      <c r="A4" s="20" t="inlineStr">
        <is>
          <t>Gaurav Sharma</t>
        </is>
      </c>
    </row>
    <row r="6" ht="15" customHeight="1" s="17">
      <c r="A6" s="21" t="inlineStr">
        <is>
          <t>Purpose</t>
        </is>
      </c>
    </row>
    <row r="7" ht="69.75" customHeight="1" s="17">
      <c r="A7" s="22" t="inlineStr">
        <is>
          <t>This is the research-track equivalent of a project's testing log: a single, complete record of every source your search strings returned and what happened to it. It is not a build artifact -- nothing here runs or compiles -- it is the documented evidence trail NFR1 (Reproducibility) and NFR3 (Auditability) commit this review to, and it is the same schema already used in the Smoke Test 2 pilot (screening-pilot.xlsx), now extended to full scale.</t>
        </is>
      </c>
    </row>
    <row r="9" ht="15" customHeight="1" s="17">
      <c r="A9" s="21" t="inlineStr">
        <is>
          <t>How to use it</t>
        </is>
      </c>
    </row>
    <row r="10" ht="84" customHeight="1" s="17">
      <c r="A10" s="22" t="inlineStr">
        <is>
          <t>Go to the 'Screening Tracker' tab. Row 2 is a worked example in light grey text -- replace it with your first real source rather than leaving it in place. Add one row per source your search returns, in the order you screen them. Category Tag and Decision are dropdown lists (click the cell, then the small arrow). Do not delete rows for excluded sources -- the whole point of the tracker is that every decision is logged, not just the ones that made the cut (Section 4.2's source-coverage benchmark: 100% of include/exclude decisions logged with a reason).</t>
        </is>
      </c>
    </row>
    <row r="12" ht="15" customHeight="1" s="17">
      <c r="A12" s="21" t="inlineStr">
        <is>
          <t>Decision rule</t>
        </is>
      </c>
    </row>
    <row r="13" ht="126" customHeight="1" s="17">
      <c r="A13" s="22" t="inlineStr">
        <is>
          <t>Include a source if it is substantively about AI and cybersecurity risk management -- threats, controls, or governance -- and fits one of the seven categories below. Exclude a source if it falls into one of the three boundaries already fixed in the project charter (Assignment 1, Scope Boundaries): primary data collection from real organizations, low-level algorithmic security engineering (how a specific ML defense algorithm works), or operationally actionable attack detail beyond the MITRE ATLAS categorical level. A source that is on-topic but doesn't fit cleanly into one category still gets included -- tag it with its closest primary category and note the overlap in the Reason column, the same principle FR6 already applies to governance mappings (Hard Stop 2, Section 2.7).</t>
        </is>
      </c>
    </row>
    <row r="15" ht="15" customHeight="1" s="17">
      <c r="A15" s="21" t="inlineStr">
        <is>
          <t>The seven categories</t>
        </is>
      </c>
    </row>
    <row r="16" ht="111.75" customHeight="1" s="17">
      <c r="A16" s="22" t="inlineStr">
        <is>
          <t>- AI-related threats
- Privacy risks
- Security risks
- Human/organizational risks
- Governance risks
- Compliance risks
- Security controls</t>
        </is>
      </c>
    </row>
    <row r="18" ht="15" customHeight="1" s="17">
      <c r="A18" s="21" t="inlineStr">
        <is>
          <t>Target</t>
        </is>
      </c>
    </row>
    <row r="19" ht="42" customHeight="1" s="17">
      <c r="A19" s="22" t="inlineStr">
        <is>
          <t>40 to 80 sources screened in total (Assignment 1 Success Criteria; Hard Stop 2, Section 4.2 source-coverage benchmark). That is total sources screened, include and exclude decisions combined -- not 40 to 80 included sources.</t>
        </is>
      </c>
    </row>
    <row r="21" ht="15" customHeight="1" s="17">
      <c r="A21" s="21" t="inlineStr">
        <is>
          <t>Reason column</t>
        </is>
      </c>
    </row>
    <row r="22" ht="42" customHeight="1" s="17">
      <c r="A22" s="22" t="inlineStr">
        <is>
          <t>One or two sentences is enough. State what the source is actually about and why that earns an Include or Exclude, the same style already used in the Smoke Test 2 pilot rows. Avoid single-word reasons like 'relevant' -- the reason is what makes the decision auditable later.</t>
        </is>
      </c>
    </row>
    <row r="24" ht="15" customHeight="1" s="17">
      <c r="A24" s="21" t="inlineStr">
        <is>
          <t>Screening-consistency spot-check</t>
        </is>
      </c>
    </row>
    <row r="25" ht="55.5" customHeight="1" s="17">
      <c r="A25" s="22" t="inlineStr">
        <is>
          <t>Per Hard Stop 2, Section 4.2: once roughly 10% of sources are screened, re-screen a random resample of that same 10% without looking at your first-pass decisions, and log the agreement rate in the 'Spot-Check Log' tab. Target is at least 90% agreement; anything below that gets resolved and the resolution logged, not silently averaged away.</t>
        </is>
      </c>
    </row>
    <row r="27" ht="15" customHeight="1" s="17">
      <c r="A27" s="21" t="inlineStr">
        <is>
          <t>What this is not</t>
        </is>
      </c>
    </row>
    <row r="28" ht="55.5" customHeight="1" s="17">
      <c r="A28" s="22" t="inlineStr">
        <is>
          <t>This is not a software test suite and nothing here is "passing" or "failing" in a technical sense -- it is a research log. Keep the entries in plain, factual language, consistent with this project's own established style (Hard Stop 2, Section 3.1: no colour, no page numbers; APA 7th edition throughout).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J122"/>
  <sheetViews>
    <sheetView showFormulas="0" showGridLines="0"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6" min="1" max="1"/>
    <col width="40" customWidth="1" style="16" min="2" max="2"/>
    <col width="22" customWidth="1" style="16" min="3" max="3"/>
    <col width="8" customWidth="1" style="16" min="4" max="4"/>
    <col width="20" customWidth="1" style="16" min="5" max="5"/>
    <col width="18" customWidth="1" style="16" min="6" max="6"/>
    <col width="20" customWidth="1" style="16" min="7" max="7"/>
    <col width="10" customWidth="1" style="16" min="8" max="8"/>
    <col width="45" customWidth="1" style="16" min="9" max="9"/>
    <col width="14" customWidth="1" style="16" min="10" max="10"/>
  </cols>
  <sheetData>
    <row r="1" ht="25.5" customHeight="1" s="17">
      <c r="A1" s="23" t="inlineStr">
        <is>
          <t>#</t>
        </is>
      </c>
      <c r="B1" s="23" t="inlineStr">
        <is>
          <t>Title</t>
        </is>
      </c>
      <c r="C1" s="23" t="inlineStr">
        <is>
          <t>Authors</t>
        </is>
      </c>
      <c r="D1" s="23" t="inlineStr">
        <is>
          <t>Year</t>
        </is>
      </c>
      <c r="E1" s="23" t="inlineStr">
        <is>
          <t>Database / Source</t>
        </is>
      </c>
      <c r="F1" s="23" t="inlineStr">
        <is>
          <t>Source Type</t>
        </is>
      </c>
      <c r="G1" s="23" t="inlineStr">
        <is>
          <t>Category Tag</t>
        </is>
      </c>
      <c r="H1" s="23" t="inlineStr">
        <is>
          <t>Decision</t>
        </is>
      </c>
      <c r="I1" s="23" t="inlineStr">
        <is>
          <t>Reason</t>
        </is>
      </c>
      <c r="J1" s="23" t="inlineStr">
        <is>
          <t>Date Screened</t>
        </is>
      </c>
    </row>
    <row r="2" ht="42" customHeight="1" s="17">
      <c r="A2" s="24" t="n">
        <v>1</v>
      </c>
      <c r="B2" s="24" t="inlineStr">
        <is>
          <t>Intelligent dynamic cybersecurity risk management framework with explainability and interpretability of AI models for enhancing security and resilience of digital infrastructure</t>
        </is>
      </c>
      <c r="C2" s="24" t="inlineStr">
        <is>
          <t>Islam, S., Basheer, N., Papastergiou, S., Ciampi, M., &amp; Silvestri, S.</t>
        </is>
      </c>
      <c r="D2" s="24" t="n">
        <v>2025</v>
      </c>
      <c r="E2" s="24" t="inlineStr">
        <is>
          <t>Google Scholar</t>
        </is>
      </c>
      <c r="F2" s="24" t="inlineStr">
        <is>
          <t>Journal article (J. Reliable Intelligent Environments, 11, Art. 12)</t>
        </is>
      </c>
      <c r="G2" s="24" t="inlineStr">
        <is>
          <t>Security controls</t>
        </is>
      </c>
      <c r="H2" s="24" t="inlineStr">
        <is>
          <t>Include</t>
        </is>
      </c>
      <c r="I2" s="24" t="inlineStr">
        <is>
          <t>Proposes an AI-based cybersecurity risk management framework; the explainability/interpretability angle is directly relevant to the Control Selection stage and to the AI RMF Map/Govern functions. [Corrected 2026-10-29: author initials and missing fifth author fixed after checking the publisher page.]</t>
        </is>
      </c>
      <c r="J2" s="24" t="inlineStr">
        <is>
          <t>2026-10-25</t>
        </is>
      </c>
    </row>
    <row r="3" ht="15" customHeight="1" s="17">
      <c r="A3" s="25" t="n">
        <v>2</v>
      </c>
      <c r="B3" s="25" t="inlineStr">
        <is>
          <t>How does AI transform cyber risk management?</t>
        </is>
      </c>
      <c r="C3" s="25" t="inlineStr">
        <is>
          <t>Zeijlemaker, S., Lemiesa, Y. K., Schroer, S. L., Abhishta, A., &amp; Siegel, M.</t>
        </is>
      </c>
      <c r="D3" s="25" t="n">
        <v>2025</v>
      </c>
      <c r="E3" s="25" t="inlineStr">
        <is>
          <t>Google Scholar (verified reference, confirmed in pilot)</t>
        </is>
      </c>
      <c r="F3" s="25" t="inlineStr">
        <is>
          <t>Journal article (Systems, 13(10), Art. 835)</t>
        </is>
      </c>
      <c r="G3" s="25" t="inlineStr">
        <is>
          <t>AI-related threats</t>
        </is>
      </c>
      <c r="H3" s="25" t="inlineStr">
        <is>
          <t>Include</t>
        </is>
      </c>
      <c r="I3" s="25" t="inlineStr">
        <is>
          <t>Already a verified reference for this project; grounds the governance discussion in a real incident (Colonial Pipeline) and maps naturally to Detect/Respond controls.</t>
        </is>
      </c>
      <c r="J3" s="25" t="inlineStr">
        <is>
          <t>2026-10-25</t>
        </is>
      </c>
    </row>
    <row r="4" ht="15" customHeight="1" s="17">
      <c r="A4" s="25" t="n">
        <v>3</v>
      </c>
      <c r="B4" s="25" t="inlineStr">
        <is>
          <t>AI-integrated cyber security risk management framework for IT projects</t>
        </is>
      </c>
      <c r="C4" s="25" t="inlineStr">
        <is>
          <t>Jabbar, H., Al-Janabi, S., &amp; Syms, F.</t>
        </is>
      </c>
      <c r="D4" s="25" t="n">
        <v>2024</v>
      </c>
      <c r="E4" s="25" t="inlineStr">
        <is>
          <t>Google Scholar</t>
        </is>
      </c>
      <c r="F4" s="25" t="inlineStr">
        <is>
          <t>Conference paper (Int. Jordanian Cybersecurity Conf. IJCC 2024, IEEE, pp. 76-81)</t>
        </is>
      </c>
      <c r="G4" s="25" t="inlineStr">
        <is>
          <t>Security controls</t>
        </is>
      </c>
      <c r="H4" s="25" t="inlineStr">
        <is>
          <t>Include</t>
        </is>
      </c>
      <c r="I4" s="25" t="inlineStr">
        <is>
          <t>AI-integrated cybersecurity risk management framework; on topic, though scoped to IT project management rather than general enterprise risk. [Corrected 2026-10-29: author initials and source type fixed; it is a conference paper, not a journal article.]</t>
        </is>
      </c>
      <c r="J4" s="25" t="inlineStr">
        <is>
          <t>2026-10-25</t>
        </is>
      </c>
    </row>
    <row r="5" ht="15" customHeight="1" s="17">
      <c r="A5" s="25" t="n">
        <v>4</v>
      </c>
      <c r="B5" s="25" t="inlineStr">
        <is>
          <t>Enhancing adaptive cybersecurity risk management through AI-driven threat detection</t>
        </is>
      </c>
      <c r="C5" s="25" t="inlineStr">
        <is>
          <t>Femi, A. G., &amp; Medugu, M.</t>
        </is>
      </c>
      <c r="D5" s="25" t="n">
        <v>2025</v>
      </c>
      <c r="E5" s="25" t="inlineStr">
        <is>
          <t>Google Scholar</t>
        </is>
      </c>
      <c r="F5" s="25" t="inlineStr">
        <is>
          <t>Journal article (Int. J. Trendy Res. Eng. Technol., 9(2), 106-110)</t>
        </is>
      </c>
      <c r="G5" s="25" t="inlineStr">
        <is>
          <t>AI-related threats</t>
        </is>
      </c>
      <c r="H5" s="25" t="inlineStr">
        <is>
          <t>Include</t>
        </is>
      </c>
      <c r="I5" s="25" t="inlineStr">
        <is>
          <t>Focuses on AI-driven threat detection within cybersecurity risk management; relevant to the Threat Identified stage. [Corrected 2026-10-29: author initials fixed.]</t>
        </is>
      </c>
      <c r="J5" s="25" t="inlineStr">
        <is>
          <t>2026-10-25</t>
        </is>
      </c>
    </row>
    <row r="6" ht="15" customHeight="1" s="17">
      <c r="A6" s="25" t="n">
        <v>5</v>
      </c>
      <c r="B6" s="25" t="inlineStr">
        <is>
          <t>Artificial intelligence in cyber risk management: Revolutionizing threat detection and resilience</t>
        </is>
      </c>
      <c r="C6" s="25" t="inlineStr">
        <is>
          <t>Ouariach, S., Ouariach, F. Z., Meena, V., Ouaissa, M., &amp; Ouaissa, M.</t>
        </is>
      </c>
      <c r="D6" s="25" t="n">
        <v>2026</v>
      </c>
      <c r="E6" s="25" t="inlineStr">
        <is>
          <t>Google Scholar</t>
        </is>
      </c>
      <c r="F6" s="25" t="inlineStr">
        <is>
          <t>Book chapter (River Publishers, pp. 77-102)</t>
        </is>
      </c>
      <c r="G6" s="25" t="inlineStr">
        <is>
          <t>Security controls</t>
        </is>
      </c>
      <c r="H6" s="25" t="inlineStr">
        <is>
          <t>Include</t>
        </is>
      </c>
      <c r="I6" s="25" t="inlineStr">
        <is>
          <t>Covers AI in cyber risk management broadly, including threat detection and resilience; directly on topic for the review corpus. [Corrected 2026-10-29: author names fixed (two authors were missing) and source type fixed; it is a book chapter.]</t>
        </is>
      </c>
      <c r="J6" s="25" t="inlineStr">
        <is>
          <t>2026-10-25</t>
        </is>
      </c>
    </row>
    <row r="7" ht="15" customHeight="1" s="17">
      <c r="A7" s="25" t="n">
        <v>6</v>
      </c>
      <c r="B7" s="25" t="inlineStr">
        <is>
          <t>Privacy in the Age of AI: A Taxonomy of Data Risks</t>
        </is>
      </c>
      <c r="C7" s="25" t="inlineStr">
        <is>
          <t>Billiris, G., Gill, A., &amp; Bandara, M.</t>
        </is>
      </c>
      <c r="D7" s="25" t="n">
        <v>2025</v>
      </c>
      <c r="E7" s="25" t="inlineStr">
        <is>
          <t>arXiv preprint (Sept 2025); now published</t>
        </is>
      </c>
      <c r="F7" s="25" t="inlineStr">
        <is>
          <t>Conference paper (Lecture Notes in Networks and Systems, 2026, pp. 678-700); first screened as preprint</t>
        </is>
      </c>
      <c r="G7" s="25" t="inlineStr">
        <is>
          <t>Privacy risks</t>
        </is>
      </c>
      <c r="H7" s="25" t="inlineStr">
        <is>
          <t>Include</t>
        </is>
      </c>
      <c r="I7" s="25" t="inlineStr">
        <is>
          <t>Builds a taxonomy of 19 AI privacy risks across dataset, model, infrastructure, and insider-threat categories; finds human error as the largest contributor, directly relevant to control and governance design. [Updated 2026-10-29: a peer-reviewed version is now published, so this source no longer depends on the preprint question.]</t>
        </is>
      </c>
      <c r="J7" s="25" t="inlineStr">
        <is>
          <t>2026-10-25</t>
        </is>
      </c>
    </row>
    <row r="8" ht="15" customHeight="1" s="17">
      <c r="A8" s="25" t="n">
        <v>7</v>
      </c>
      <c r="B8" s="25" t="inlineStr">
        <is>
          <t>AI in Cybersecurity and Data Privacy: Emerging Trends and Techniques</t>
        </is>
      </c>
      <c r="C8" s="25" t="inlineStr">
        <is>
          <t>Ramya, P.</t>
        </is>
      </c>
      <c r="D8" s="25" t="n">
        <v>2026</v>
      </c>
      <c r="E8" s="25" t="inlineStr">
        <is>
          <t>Google Scholar</t>
        </is>
      </c>
      <c r="F8" s="25" t="inlineStr">
        <is>
          <t>Journal article (Shanlax Intl. J. of Management, 13(S1-Mar), 195-203)</t>
        </is>
      </c>
      <c r="G8" s="25" t="inlineStr">
        <is>
          <t>Security controls</t>
        </is>
      </c>
      <c r="H8" s="25" t="inlineStr">
        <is>
          <t>Include</t>
        </is>
      </c>
      <c r="I8" s="25" t="inlineStr">
        <is>
          <t>Covers AI threat-detection techniques and privacy-protective methods (federated learning, differential privacy) alongside AI-introduced risks; calls for governance, ethical design, and regulatory compliance.</t>
        </is>
      </c>
      <c r="J8" s="25" t="inlineStr">
        <is>
          <t>2026-10-25</t>
        </is>
      </c>
    </row>
    <row r="9" ht="15" customHeight="1" s="17">
      <c r="A9" s="25" t="n">
        <v>8</v>
      </c>
      <c r="B9" s="25" t="inlineStr">
        <is>
          <t>The Impact of Artificial Intelligence on Organisational Security Management</t>
        </is>
      </c>
      <c r="C9" s="25" t="inlineStr">
        <is>
          <t>Chodyka, M., Ciekanowski, Z., Krecikij, J., Wronka, S., Zurawski, S., &amp; Drapikowska, B.</t>
        </is>
      </c>
      <c r="D9" s="25" t="n">
        <v>2026</v>
      </c>
      <c r="E9" s="25" t="inlineStr">
        <is>
          <t>Google Scholar</t>
        </is>
      </c>
      <c r="F9" s="25" t="inlineStr">
        <is>
          <t>Journal article (European Research Studies Journal, XXIX(2), 595-605)</t>
        </is>
      </c>
      <c r="G9" s="25" t="inlineStr">
        <is>
          <t>Human/organizational risks</t>
        </is>
      </c>
      <c r="H9" s="25" t="inlineStr">
        <is>
          <t>Include</t>
        </is>
      </c>
      <c r="I9" s="25" t="inlineStr">
        <is>
          <t>Covers shadow AI, staff policy, and governance needs for organisational security management; directly relevant to the Governance &amp; Compliance Obligation stage.</t>
        </is>
      </c>
      <c r="J9" s="25" t="inlineStr">
        <is>
          <t>2026-10-25</t>
        </is>
      </c>
    </row>
    <row r="10" ht="15" customHeight="1" s="17">
      <c r="A10" s="25" t="n">
        <v>9</v>
      </c>
      <c r="B10" s="25" t="inlineStr">
        <is>
          <t>Artificial Intelligence in Cybersecurity: A Systematic Literature Review of AI-Driven Threat Detection and Organizational Defense</t>
        </is>
      </c>
      <c r="C10" s="25" t="inlineStr">
        <is>
          <t>Mannam, J., &amp; Kuai, L.</t>
        </is>
      </c>
      <c r="D10" s="25" t="n">
        <v>2026</v>
      </c>
      <c r="E10" s="25" t="inlineStr">
        <is>
          <t>Google Scholar</t>
        </is>
      </c>
      <c r="F10" s="25" t="inlineStr">
        <is>
          <t>Conference paper (AMCIS 2026 TREOs, AIS eLibrary)</t>
        </is>
      </c>
      <c r="G10" s="25" t="inlineStr">
        <is>
          <t>AI-related threats</t>
        </is>
      </c>
      <c r="H10" s="25" t="inlineStr">
        <is>
          <t>Include</t>
        </is>
      </c>
      <c r="I10" s="25" t="inlineStr">
        <is>
          <t>A related systematic review of AI threat detection and organizational defense using PRISMA; useful as an additional comparison point alongside Albulayhi &amp; Alkhalifah (2026) and Mokgathi &amp; Ogundele (2026).</t>
        </is>
      </c>
      <c r="J10" s="25" t="inlineStr">
        <is>
          <t>2026-10-25</t>
        </is>
      </c>
    </row>
    <row r="11" ht="15" customHeight="1" s="17">
      <c r="A11" s="25" t="n">
        <v>10</v>
      </c>
      <c r="B11" s="25" t="inlineStr">
        <is>
          <t>A Systematic Mapping Study on Approaches for AI-Supported Security Risk Assessment</t>
        </is>
      </c>
      <c r="C11" s="25" t="inlineStr">
        <is>
          <t>Erdogan, G., Garcia-Ceja, E., Hugo, A., Nguyen, P. H., &amp; Sen, S.</t>
        </is>
      </c>
      <c r="D11" s="25" t="n">
        <v>2021</v>
      </c>
      <c r="E11" s="25" t="inlineStr">
        <is>
          <t>Google Scholar</t>
        </is>
      </c>
      <c r="F11" s="25" t="inlineStr">
        <is>
          <t>Conference paper (IEEE COMPSAC 2021)</t>
        </is>
      </c>
      <c r="G11" s="25" t="inlineStr">
        <is>
          <t>Security controls</t>
        </is>
      </c>
      <c r="H11" s="25" t="inlineStr">
        <is>
          <t>Exclude</t>
        </is>
      </c>
      <c r="I11" s="25" t="inlineStr">
        <is>
          <t>Out of scope: maps technical AI risk-assessment techniques (Bayesian networks, neural networks for intrusion/malware detection) rather than threat-to-control-to-governance tracing; falls inside the project's low-level algorithmic-engineering exclusion boundary (Assignment 1, Scope Boundaries).</t>
        </is>
      </c>
      <c r="J11" s="25" t="inlineStr">
        <is>
          <t>2026-10-25</t>
        </is>
      </c>
    </row>
    <row r="12" ht="15" customHeight="1" s="17">
      <c r="A12" s="25" t="n">
        <v>11</v>
      </c>
      <c r="B12" s="25" t="inlineStr">
        <is>
          <t>Beyond the Hype - Evaluating the Business Impact of AI adoption in Cybersecurity</t>
        </is>
      </c>
      <c r="C12" s="25" t="inlineStr">
        <is>
          <t>Wolfe, C., O'Flaherty, B., Ramesh, P., Prakash, K., Zhao, T., Sun, H., Sheehan, K., &amp; Treacy, S.</t>
        </is>
      </c>
      <c r="D12" s="25" t="n">
        <v>2025</v>
      </c>
      <c r="E12" s="25" t="inlineStr">
        <is>
          <t>Google Scholar</t>
        </is>
      </c>
      <c r="F12" s="25" t="inlineStr">
        <is>
          <t>Conference paper (Pre-ICIS SIGDSA 2025, AIS eLibrary)</t>
        </is>
      </c>
      <c r="G12" s="25" t="inlineStr">
        <is>
          <t>Human/organizational risks</t>
        </is>
      </c>
      <c r="H12" s="25" t="inlineStr">
        <is>
          <t>Exclude</t>
        </is>
      </c>
      <c r="I12" s="25" t="inlineStr">
        <is>
          <t>Excluded: primary data collection (survey and interviews) from a named real organization (Cyber-Tech); this project's charter (Assignment 1) explicitly scopes out primary data collection from real organizations.</t>
        </is>
      </c>
      <c r="J12" s="25" t="inlineStr">
        <is>
          <t>2026-10-25</t>
        </is>
      </c>
    </row>
    <row r="13" ht="15" customHeight="1" s="17">
      <c r="A13" s="25" t="n">
        <v>12</v>
      </c>
      <c r="B13" s="25" t="inlineStr">
        <is>
          <t>A five-layer framework for AI governance: integrating regulation, standards, and certification</t>
        </is>
      </c>
      <c r="C13" s="25" t="inlineStr">
        <is>
          <t>Agarwal, A., &amp; Nene, M. J.</t>
        </is>
      </c>
      <c r="D13" s="25" t="n">
        <v>2025</v>
      </c>
      <c r="E13" s="25" t="inlineStr">
        <is>
          <t>arXiv preprint (Sept 2025); now published</t>
        </is>
      </c>
      <c r="F13" s="25" t="inlineStr">
        <is>
          <t>Journal article (Transforming Government: People, Process and Policy, 19(3), 535-555)</t>
        </is>
      </c>
      <c r="G13" s="25" t="inlineStr">
        <is>
          <t>Governance risks</t>
        </is>
      </c>
      <c r="H13" s="25" t="inlineStr">
        <is>
          <t>Exclude</t>
        </is>
      </c>
      <c r="I13" s="25" t="inlineStr">
        <is>
          <t>Borderline, re-checked in the spot-check log below: addresses AI governance broadly (fairness, certification) with only an indirect tie to cybersecurity via incident reporting; not substantively about cybersecurity risk management as this project's inclusion rule requires. [Updated 2026-10-29: now published in a journal; the Exclude decision is unaffected.]</t>
        </is>
      </c>
      <c r="J13" s="25" t="inlineStr">
        <is>
          <t>2026-10-25</t>
        </is>
      </c>
    </row>
    <row r="14" ht="15" customHeight="1" s="17">
      <c r="A14" s="24">
        <f>ROW()-1</f>
        <v/>
      </c>
      <c r="B14" s="24" t="inlineStr">
        <is>
          <t>Adversarial machine learning: a review of methods, tools, and critical industry sectors</t>
        </is>
      </c>
      <c r="C14" s="24" t="inlineStr">
        <is>
          <t>Pelekis, S., Koutroubas, T., Blika, A., Berdelis, A., Karakolis, E., Ntanos, C., Spiliotis, E., &amp; Askounis, D.</t>
        </is>
      </c>
      <c r="D14" s="24" t="n">
        <v>2025</v>
      </c>
      <c r="E14" s="24" t="inlineStr">
        <is>
          <t>Springer Link (Artificial Intelligence Review)</t>
        </is>
      </c>
      <c r="F14" s="24" t="inlineStr">
        <is>
          <t>Journal article (Artif. Intell. Rev., 58(8), Art. 226)</t>
        </is>
      </c>
      <c r="G14" s="24" t="inlineStr">
        <is>
          <t>Security risks</t>
        </is>
      </c>
      <c r="H14" s="24" t="inlineStr">
        <is>
          <t>Include</t>
        </is>
      </c>
      <c r="I14" s="24" t="inlineStr">
        <is>
          <t>Borderline, re-checked in the Spot-Check Log. Reviews risks TO AI systems (evasion, poisoning, privacy leakage) in four critical sectors and links them to EU AI Act robustness and cybersecurity duties. Included because the risk taxonomy is at the categorical level; its algorithm-level defence sections will not be extracted, which keeps it inside the charter boundary that excluded Erdogan et al. (#10).</t>
        </is>
      </c>
      <c r="J14" s="24" t="inlineStr">
        <is>
          <t>2026-10-29</t>
        </is>
      </c>
    </row>
    <row r="15" ht="15" customHeight="1" s="17">
      <c r="A15" s="24">
        <f>ROW()-1</f>
        <v/>
      </c>
      <c r="B15" s="24" t="inlineStr">
        <is>
          <t>AI-Driven Cybersecurity Threats: A Survey of Emerging Risks and Defensive Strategies</t>
        </is>
      </c>
      <c r="C15" s="24" t="inlineStr">
        <is>
          <t>Erukude, S. T., Marella, V. C., &amp; Veluru, S. R.</t>
        </is>
      </c>
      <c r="D15" s="24" t="n">
        <v>2026</v>
      </c>
      <c r="E15" s="24" t="inlineStr">
        <is>
          <t>arXiv (preprint, Jan 2026)</t>
        </is>
      </c>
      <c r="F15" s="24" t="inlineStr">
        <is>
          <t>Preprint / narrative survey (70+ sources)</t>
        </is>
      </c>
      <c r="G15" s="24" t="inlineStr">
        <is>
          <t>AI-related threats</t>
        </is>
      </c>
      <c r="H15" s="24" t="inlineStr">
        <is>
          <t>Include</t>
        </is>
      </c>
      <c r="I15" s="24" t="inlineStr">
        <is>
          <t>Groups AI-enabled threats (deepfakes, adversarial attacks, AI malware, AI phishing) and the controls used against them (adversarial training, EDR/XDR, human review). Names no NIST or ISO framework, so it confirms the threat-to-control link but not the governance link. Preprint: counts only if the open preprint question is answered yes.</t>
        </is>
      </c>
      <c r="J15" s="24" t="inlineStr">
        <is>
          <t>2026-10-29</t>
        </is>
      </c>
    </row>
    <row r="16" ht="15" customHeight="1" s="17">
      <c r="A16" s="24">
        <f>ROW()-1</f>
        <v/>
      </c>
      <c r="B16" s="24" t="inlineStr">
        <is>
          <t>Improving cybersecurity through explainable artificial intelligence: A systematic literature review</t>
        </is>
      </c>
      <c r="C16" s="24" t="inlineStr">
        <is>
          <t>Oriaro, S., &amp; Mishra, S.</t>
        </is>
      </c>
      <c r="D16" s="24" t="n">
        <v>2025</v>
      </c>
      <c r="E16" s="24" t="inlineStr">
        <is>
          <t>Google Scholar (IACIS)</t>
        </is>
      </c>
      <c r="F16" s="24" t="inlineStr">
        <is>
          <t>Journal article (Issues in Information Systems, 26(3), 387-400)</t>
        </is>
      </c>
      <c r="G16" s="24" t="inlineStr">
        <is>
          <t>Security controls</t>
        </is>
      </c>
      <c r="H16" s="24" t="inlineStr">
        <is>
          <t>Include</t>
        </is>
      </c>
      <c r="I16" s="24" t="inlineStr">
        <is>
          <t>PRISMA review of 169 studies on explainable AI as a security control. Also reports that explanations can be abused by attackers (42 of 169 studies). No AI RMF, ISO 42001 or CSF mapping. Note for appraisal: its record counts do not reconcile (1,247 in text vs 1,641 in Table 1).</t>
        </is>
      </c>
      <c r="J16" s="24" t="inlineStr">
        <is>
          <t>2026-10-29</t>
        </is>
      </c>
    </row>
    <row r="17" ht="15" customHeight="1" s="17">
      <c r="A17" s="24">
        <f>ROW()-1</f>
        <v/>
      </c>
      <c r="B17" s="24" t="inlineStr">
        <is>
          <t>Robustness and Cybersecurity in the EU Artificial Intelligence Act</t>
        </is>
      </c>
      <c r="C17" s="24" t="inlineStr">
        <is>
          <t>Nolte, H., Rateike, M., &amp; Finck, M.</t>
        </is>
      </c>
      <c r="D17" s="24" t="n">
        <v>2025</v>
      </c>
      <c r="E17" s="24" t="inlineStr">
        <is>
          <t>arXiv / ACM Digital Library</t>
        </is>
      </c>
      <c r="F17" s="24" t="inlineStr">
        <is>
          <t>Conference paper (ACM FAccT 2025)</t>
        </is>
      </c>
      <c r="G17" s="24" t="inlineStr">
        <is>
          <t>Compliance risks</t>
        </is>
      </c>
      <c r="H17" s="24" t="inlineStr">
        <is>
          <t>Include</t>
        </is>
      </c>
      <c r="I17" s="24" t="inlineStr">
        <is>
          <t>Legal analysis of EU AI Act Art. 15 (high-risk systems) and Art. 55 (general-purpose models) robustness and cybersecurity duties, and how ML research could support compliance. Directly about the compliance obligation stage.</t>
        </is>
      </c>
      <c r="J17" s="24" t="inlineStr">
        <is>
          <t>2026-10-29</t>
        </is>
      </c>
    </row>
    <row r="18" ht="15" customHeight="1" s="17">
      <c r="A18" s="24">
        <f>ROW()-1</f>
        <v/>
      </c>
      <c r="B18" s="24" t="inlineStr">
        <is>
          <t>Assessing High-Risk AI Systems under the EU AI Act: From Legal Requirements to Technical Verification</t>
        </is>
      </c>
      <c r="C18" s="24" t="inlineStr">
        <is>
          <t>Buscemi, A., Deckenbrunnen, T., Kabir, F., Mishchenko, K., &amp; Mowla, N.</t>
        </is>
      </c>
      <c r="D18" s="24" t="n">
        <v>2025</v>
      </c>
      <c r="E18" s="24" t="inlineStr">
        <is>
          <t>arXiv (preprint, v3 Apr 2026)</t>
        </is>
      </c>
      <c r="F18" s="24" t="inlineStr">
        <is>
          <t>Preprint</t>
        </is>
      </c>
      <c r="G18" s="24" t="inlineStr">
        <is>
          <t>Compliance risks</t>
        </is>
      </c>
      <c r="H18" s="24" t="inlineStr">
        <is>
          <t>Include</t>
        </is>
      </c>
      <c r="I18" s="24" t="inlineStr">
        <is>
          <t>Maps 11 requirements to 48 sub-requirements and 66 verification activities, grounded in ISO/IEC 42001, with an automotive intrusion-detection case. Closest partial chain found so far (requirement to control), but starts from the law, not from threats, and covers EU AI Act only. Preprint: same open question as #6 and #14.</t>
        </is>
      </c>
      <c r="J18" s="24" t="inlineStr">
        <is>
          <t>2026-10-29</t>
        </is>
      </c>
    </row>
    <row r="19" ht="15" customHeight="1" s="17">
      <c r="A19" s="24">
        <f>ROW()-1</f>
        <v/>
      </c>
      <c r="B19" s="24" t="inlineStr">
        <is>
          <t>The Agentic AI Framework (AAIF): a policy-enforced architecture for accountable and high-performance intrusion detection</t>
        </is>
      </c>
      <c r="C19" s="24" t="inlineStr">
        <is>
          <t>Adabara, I., Sadiq, B. O., Shuaibu, A. N., Danjuma, Y. I., Maninti, V., &amp; Joe, M.</t>
        </is>
      </c>
      <c r="D19" s="24" t="n">
        <v>2026</v>
      </c>
      <c r="E19" s="24" t="inlineStr">
        <is>
          <t>PubMed Central (Frontiers)</t>
        </is>
      </c>
      <c r="F19" s="24" t="inlineStr">
        <is>
          <t>Journal article (Front. Artif. Intell., 9, Art. 1755696)</t>
        </is>
      </c>
      <c r="G19" s="24" t="inlineStr">
        <is>
          <t>Governance risks</t>
        </is>
      </c>
      <c r="H19" s="24" t="inlineStr">
        <is>
          <t>Include</t>
        </is>
      </c>
      <c r="I19" s="24" t="inlineStr">
        <is>
          <t>Design-science artefact that maps policy rules to AI RMF Govern/Map/Measure/Manage and logs every decision. Uses a public dataset (CICIDS2017), not data from a real organisation, so the primary-data boundary does not apply. Its compliance scores are measured against its own rules, so they show rule-following, not effectiveness.</t>
        </is>
      </c>
      <c r="J19" s="24" t="inlineStr">
        <is>
          <t>2026-10-29</t>
        </is>
      </c>
    </row>
    <row r="20" ht="15" customHeight="1" s="17">
      <c r="A20" s="24">
        <f>ROW()-1</f>
        <v/>
      </c>
      <c r="B20" s="24" t="inlineStr">
        <is>
          <t>Cyber Risk Governance (CRG) in the Age of AI-Driven Open Innovation</t>
        </is>
      </c>
      <c r="C20" s="24" t="inlineStr">
        <is>
          <t>Abraham, C.</t>
        </is>
      </c>
      <c r="D20" s="24" t="n">
        <v>2025</v>
      </c>
      <c r="E20" s="24" t="inlineStr">
        <is>
          <t>Web search (California Management Review Insights)</t>
        </is>
      </c>
      <c r="F20" s="24" t="inlineStr">
        <is>
          <t>Practitioner insight / opinion piece (not peer reviewed)</t>
        </is>
      </c>
      <c r="G20" s="24" t="inlineStr">
        <is>
          <t>Governance risks</t>
        </is>
      </c>
      <c r="H20" s="24" t="inlineStr">
        <is>
          <t>Include</t>
        </is>
      </c>
      <c r="I20" s="24" t="inlineStr">
        <is>
          <t>On topic: names NIST AI RMF, ISO/IEC 42001 and FAIR-AIR and argues for board, executive and operational accountability. Included because the written rule screens for topic, not source type. Flagged as low evidential weight and raised with the supervisor alongside the preprint question (see memo, limitations).</t>
        </is>
      </c>
      <c r="J20" s="24" t="inlineStr">
        <is>
          <t>2026-10-29</t>
        </is>
      </c>
    </row>
    <row r="21" ht="15" customHeight="1" s="17">
      <c r="A21" s="24">
        <f>ROW()-1</f>
        <v/>
      </c>
      <c r="B21" s="24" t="inlineStr">
        <is>
          <t>AI in Cybersecurity: A Systematic Review and Conceptual Audit Model</t>
        </is>
      </c>
      <c r="C21" s="24" t="inlineStr">
        <is>
          <t>Rananga, N., &amp; Venter, H. S.</t>
        </is>
      </c>
      <c r="D21" s="24" t="n">
        <v>2026</v>
      </c>
      <c r="E21" s="24" t="inlineStr">
        <is>
          <t>Google Scholar</t>
        </is>
      </c>
      <c r="F21" s="24" t="inlineStr">
        <is>
          <t>Journal article (J. Inf. Syst. Informatics, 8(2), 2182-2247)</t>
        </is>
      </c>
      <c r="G21" s="24" t="inlineStr">
        <is>
          <t>Compliance risks</t>
        </is>
      </c>
      <c r="H21" s="24" t="inlineStr">
        <is>
          <t>Include</t>
        </is>
      </c>
      <c r="I21" s="24" t="inlineStr">
        <is>
          <t>PRISMA review (36 studies) plus a design-science audit model. Argues that cybersecurity audit should move from periodic compliance checks to continuous risk governance. Relevant to the compliance and assurance stage; names no AI RMF, ISO 42001 or CSF clauses.</t>
        </is>
      </c>
      <c r="J21" s="24" t="inlineStr">
        <is>
          <t>2026-10-29</t>
        </is>
      </c>
    </row>
    <row r="22" ht="15" customHeight="1" s="17">
      <c r="A22" s="24">
        <f>ROW()-1</f>
        <v/>
      </c>
      <c r="B22" s="24" t="inlineStr">
        <is>
          <t>Artificial Intelligence in Cybersecurity: Threat Detection, Defense, and the Governance of a Dual-Use Technology</t>
        </is>
      </c>
      <c r="C22" s="24" t="inlineStr">
        <is>
          <t>Umair, M., Shaukat, J., &amp; Bhatti, M. F. T.</t>
        </is>
      </c>
      <c r="D22" s="24" t="n">
        <v>2026</v>
      </c>
      <c r="E22" s="24" t="inlineStr">
        <is>
          <t>Google Scholar</t>
        </is>
      </c>
      <c r="F22" s="24" t="inlineStr">
        <is>
          <t>Journal article (Research Consortium Archive, 4(2), 4951-4969)</t>
        </is>
      </c>
      <c r="G22" s="24" t="inlineStr">
        <is>
          <t>AI-related threats</t>
        </is>
      </c>
      <c r="H22" s="24" t="inlineStr">
        <is>
          <t>Include</t>
        </is>
      </c>
      <c r="I22" s="24" t="inlineStr">
        <is>
          <t>Covers AI-enabled attacks, AI defences and governance, naming NIST AI RMF and the EU AI Act. Quality flag for appraisal: calls itself systematic but reports no search protocol; journal web page carries unrelated spam links; author metadata differs between page and record.</t>
        </is>
      </c>
      <c r="J22" s="24" t="inlineStr">
        <is>
          <t>2026-10-29</t>
        </is>
      </c>
    </row>
    <row r="23" ht="15" customHeight="1" s="17">
      <c r="A23" s="24">
        <f>ROW()-1</f>
        <v/>
      </c>
      <c r="B23" s="24" t="inlineStr">
        <is>
          <t>Artificial intelligence for cybersecurity: Literature review and future research directions</t>
        </is>
      </c>
      <c r="C23" s="24" t="inlineStr">
        <is>
          <t>Kaur, R., Gabrijelcic, D., &amp; Klobucar, T.</t>
        </is>
      </c>
      <c r="D23" s="24" t="n">
        <v>2023</v>
      </c>
      <c r="E23" s="24" t="inlineStr">
        <is>
          <t>ScienceDirect</t>
        </is>
      </c>
      <c r="F23" s="24" t="inlineStr">
        <is>
          <t>Journal article (Information Fusion, 97, Art. 101804)</t>
        </is>
      </c>
      <c r="G23" s="24" t="inlineStr">
        <is>
          <t>Security controls</t>
        </is>
      </c>
      <c r="H23" s="24" t="inlineStr">
        <is>
          <t>Include</t>
        </is>
      </c>
      <c r="I23" s="24" t="inlineStr">
        <is>
          <t>Review of 236 primary studies that sorts AI security use cases by NIST CSF functions and categories. Useful prior example of function-level mapping, but it maps AI as a defence tool, not AI-related threats, and has no AI RMF or ISO 42001 link. Notes a gap in real-time governance risk indicators.</t>
        </is>
      </c>
      <c r="J23" s="24" t="inlineStr">
        <is>
          <t>2026-10-29</t>
        </is>
      </c>
    </row>
    <row r="24" ht="15" customHeight="1" s="17">
      <c r="A24" s="24">
        <f>ROW()-1</f>
        <v/>
      </c>
      <c r="B24" s="24" t="inlineStr">
        <is>
          <t>AI in Cybersecurity (2026): A Qualitative Inquiry into Adversarial Intelligence, Defensive Automation, and Governance in Emerging Digital Economies</t>
        </is>
      </c>
      <c r="C24" s="24" t="inlineStr">
        <is>
          <t>Chege, S. M., &amp; Wainaina, M.</t>
        </is>
      </c>
      <c r="D24" s="24" t="n">
        <v>2026</v>
      </c>
      <c r="E24" s="24" t="inlineStr">
        <is>
          <t>Web search (ResearchLeap)</t>
        </is>
      </c>
      <c r="F24" s="24" t="inlineStr">
        <is>
          <t>Journal article (Int. J. Innovation &amp; Economic Development, 12(1), 7-14)</t>
        </is>
      </c>
      <c r="G24" s="24" t="inlineStr">
        <is>
          <t>Governance risks</t>
        </is>
      </c>
      <c r="H24" s="24" t="inlineStr">
        <is>
          <t>Include</t>
        </is>
      </c>
      <c r="I24" s="24" t="inlineStr">
        <is>
          <t>Document analysis only (no participants), proposing ISO/IEC 42001 to put Kenya's Data Protection Act into practice. On topic. Serious quality flag for appraisal: leftover placeholder text, a 'Figure 1 here' marker, duplicated sections, and at least one doubtful reference.</t>
        </is>
      </c>
      <c r="J24" s="24" t="inlineStr">
        <is>
          <t>2026-10-29</t>
        </is>
      </c>
    </row>
    <row r="25" ht="15" customHeight="1" s="17">
      <c r="A25" s="24">
        <f>ROW()-1</f>
        <v/>
      </c>
      <c r="B25" s="24" t="inlineStr">
        <is>
          <t>Adversarial Defense in Cybersecurity: A Systematic Review of GANs for Threat Detection and Mitigation</t>
        </is>
      </c>
      <c r="C25" s="24" t="inlineStr">
        <is>
          <t>Ndayipfukamiye, T., Ding, J., Sarwatt, D. S., Philipo, A. G., &amp; Ning, H.</t>
        </is>
      </c>
      <c r="D25" s="24" t="n">
        <v>2025</v>
      </c>
      <c r="E25" s="24" t="inlineStr">
        <is>
          <t>arXiv (preprint)</t>
        </is>
      </c>
      <c r="F25" s="24" t="inlineStr">
        <is>
          <t>Preprint / systematic review (185 studies)</t>
        </is>
      </c>
      <c r="G25" s="24" t="inlineStr">
        <is>
          <t>Security controls</t>
        </is>
      </c>
      <c r="H25" s="24" t="inlineStr">
        <is>
          <t>Exclude</t>
        </is>
      </c>
      <c r="I25" s="24" t="inlineStr">
        <is>
          <t>Out of scope: a review of how GAN-based defence models are built and trained (architectures, training problems, metrics). This is the low-level algorithmic boundary in the charter, the same reason as #10. Governance appears only as a future-work remark.</t>
        </is>
      </c>
      <c r="J25" s="24" t="inlineStr">
        <is>
          <t>2026-10-29</t>
        </is>
      </c>
    </row>
    <row r="26" ht="15" customHeight="1" s="17">
      <c r="A26" s="24">
        <f>ROW()-1</f>
        <v/>
      </c>
      <c r="B26" s="24" t="inlineStr">
        <is>
          <t>Artificial Intelligence in Cybersecurity and Risk Management</t>
        </is>
      </c>
      <c r="C26" s="24" t="inlineStr">
        <is>
          <t>Bhagat, H. V., Nath, A., Kaur, T., Singh, J., Kaur, G., Gupta, K., et al. (25 authors)</t>
        </is>
      </c>
      <c r="D26" s="24" t="n">
        <v>2026</v>
      </c>
      <c r="E26" s="24" t="inlineStr">
        <is>
          <t>OpenAlex, Query A (protocol string; title+abstract; 2023-2026; has abstract), rank 1</t>
        </is>
      </c>
      <c r="F26" s="24" t="inlineStr">
        <is>
          <t>Book (DOI 10.70593/978-93-7185-561-7)</t>
        </is>
      </c>
      <c r="G26" s="24" t="inlineStr">
        <is>
          <t>Security controls</t>
        </is>
      </c>
      <c r="H26" s="24" t="inlineStr">
        <is>
          <t>Include</t>
        </is>
      </c>
      <c r="I26" s="24" t="inlineStr">
        <is>
          <t>Book on AI-based cybersecurity: moving from rule- and signature-based controls to predictive, adaptive AI controls. On topic. Low evidential weight: not peer reviewed (or review status unclear); flagged for appraisal.</t>
        </is>
      </c>
      <c r="J26" s="24" t="inlineStr">
        <is>
          <t>2026-10-29</t>
        </is>
      </c>
    </row>
    <row r="27" ht="15" customHeight="1" s="17">
      <c r="A27" s="24">
        <f>ROW()-1</f>
        <v/>
      </c>
      <c r="B27" s="24" t="inlineStr">
        <is>
          <t>Opportunities of artificial intelligence for cybersecurity audit and risk management</t>
        </is>
      </c>
      <c r="C27" s="24" t="inlineStr">
        <is>
          <t>Obodiak, V., Otroshchenko, M., &amp; Liubchak, V.</t>
        </is>
      </c>
      <c r="D27" s="24" t="n">
        <v>2025</v>
      </c>
      <c r="E27" s="24" t="inlineStr">
        <is>
          <t>OpenAlex, Query A (protocol string; title+abstract; 2023-2026; has abstract), rank 2</t>
        </is>
      </c>
      <c r="F27" s="24" t="inlineStr">
        <is>
          <t>Journal article (Cybersecurity: Education, Science, Technique, 1(29), 319-330)</t>
        </is>
      </c>
      <c r="G27" s="24" t="inlineStr">
        <is>
          <t>Compliance risks</t>
        </is>
      </c>
      <c r="H27" s="24" t="inlineStr">
        <is>
          <t>Include</t>
        </is>
      </c>
      <c r="I27" s="24" t="inlineStr">
        <is>
          <t>AI for continuous cybersecurity audit and risk management in place of periodic manual audit. Same audit theme as #20; relevant to the compliance and assurance stage.</t>
        </is>
      </c>
      <c r="J27" s="24" t="inlineStr">
        <is>
          <t>2026-10-29</t>
        </is>
      </c>
    </row>
    <row r="28" ht="15" customHeight="1" s="17">
      <c r="A28" s="24">
        <f>ROW()-1</f>
        <v/>
      </c>
      <c r="B28" s="24" t="inlineStr">
        <is>
          <t>Applying artificial intelligence in cybersecurity to enhance threat detection, response, and risk management</t>
        </is>
      </c>
      <c r="C28" s="24" t="inlineStr">
        <is>
          <t>Uzoka, A. C., Cadet, E., &amp; Ojukwu, P. U.</t>
        </is>
      </c>
      <c r="D28" s="24" t="n">
        <v>2024</v>
      </c>
      <c r="E28" s="24" t="inlineStr">
        <is>
          <t>OpenAlex, Query A (protocol string; title+abstract; 2023-2026; has abstract), rank 3</t>
        </is>
      </c>
      <c r="F28" s="24" t="inlineStr">
        <is>
          <t>Journal article (Computer Science &amp; IT Research Journal, 5(10), 2511-2538)</t>
        </is>
      </c>
      <c r="G28" s="24" t="inlineStr">
        <is>
          <t>Security controls</t>
        </is>
      </c>
      <c r="H28" s="24" t="inlineStr">
        <is>
          <t>Include</t>
        </is>
      </c>
      <c r="I28" s="24" t="inlineStr">
        <is>
          <t>Literature review of AI tools for threat detection, response and risk management; names privacy, ethics and skills challenges. No framework mapping in the abstract.</t>
        </is>
      </c>
      <c r="J28" s="24" t="inlineStr">
        <is>
          <t>2026-10-29</t>
        </is>
      </c>
    </row>
    <row r="29" ht="15" customHeight="1" s="17">
      <c r="A29" s="24">
        <f>ROW()-1</f>
        <v/>
      </c>
      <c r="B29" s="24" t="inlineStr">
        <is>
          <t>Cybersecurity risk management in smart IoT ecosystems using artificial intelligence</t>
        </is>
      </c>
      <c r="C29" s="24" t="inlineStr">
        <is>
          <t>Gael, N.</t>
        </is>
      </c>
      <c r="D29" s="24" t="n">
        <v>2026</v>
      </c>
      <c r="E29" s="24" t="inlineStr">
        <is>
          <t>OpenAlex, Query A (protocol string; title+abstract; 2023-2026; has abstract), rank 4</t>
        </is>
      </c>
      <c r="F29" s="24" t="inlineStr">
        <is>
          <t>Repository article (Zenodo)</t>
        </is>
      </c>
      <c r="G29" s="24" t="inlineStr">
        <is>
          <t>Security controls</t>
        </is>
      </c>
      <c r="H29" s="24" t="inlineStr">
        <is>
          <t>Include</t>
        </is>
      </c>
      <c r="I29" s="24" t="inlineStr">
        <is>
          <t>AI for cybersecurity risk management in IoT ecosystems. On topic. Low evidential weight: not peer reviewed (or review status unclear); flagged for appraisal.</t>
        </is>
      </c>
      <c r="J29" s="24" t="inlineStr">
        <is>
          <t>2026-10-29</t>
        </is>
      </c>
    </row>
    <row r="30" ht="15" customHeight="1" s="17">
      <c r="A30" s="24">
        <f>ROW()-1</f>
        <v/>
      </c>
      <c r="B30" s="24" t="inlineStr">
        <is>
          <t>Cybersecurity in digital finance: Artificial intelligence-powered fraud detection and risk management</t>
        </is>
      </c>
      <c r="C30" s="24" t="inlineStr">
        <is>
          <t>Dharmireddi, S., Hameed, A., Albdairi, M., Samudro, E. G., &amp; Nandy, M.</t>
        </is>
      </c>
      <c r="D30" s="24" t="n">
        <v>2025</v>
      </c>
      <c r="E30" s="24" t="inlineStr">
        <is>
          <t>OpenAlex, Query A (protocol string; title+abstract; 2023-2026; has abstract), rank 5</t>
        </is>
      </c>
      <c r="F30" s="24" t="inlineStr">
        <is>
          <t>Conference paper (IEEE ICCIES 2025, pp. 1-5)</t>
        </is>
      </c>
      <c r="G30" s="24" t="inlineStr">
        <is>
          <t>Security controls</t>
        </is>
      </c>
      <c r="H30" s="24" t="inlineStr">
        <is>
          <t>Exclude</t>
        </is>
      </c>
      <c r="I30" s="24" t="inlineStr">
        <is>
          <t>Out of scope: designs and tests fraud-detection models for online banking. Low-level algorithmic boundary (same reason as #10 and #24), and the subject is payment fraud rather than cybersecurity risk management.</t>
        </is>
      </c>
      <c r="J30" s="24" t="inlineStr">
        <is>
          <t>2026-10-29</t>
        </is>
      </c>
    </row>
    <row r="31" ht="15" customHeight="1" s="17">
      <c r="A31" s="24">
        <f>ROW()-1</f>
        <v/>
      </c>
      <c r="B31" s="24" t="inlineStr">
        <is>
          <t>Artificial intelligence in cybersecurity</t>
        </is>
      </c>
      <c r="C31" s="24" t="inlineStr">
        <is>
          <t>Pipyros, K.</t>
        </is>
      </c>
      <c r="D31" s="24" t="n">
        <v>2026</v>
      </c>
      <c r="E31" s="24" t="inlineStr">
        <is>
          <t>OpenAlex, Query A (protocol string; title+abstract; 2023-2026; has abstract), rank 6</t>
        </is>
      </c>
      <c r="F31" s="24" t="inlineStr">
        <is>
          <t>Book chapter (IGI Global, Advances in Computational Intelligence and Robotics, pp. 225-258)</t>
        </is>
      </c>
      <c r="G31" s="24" t="inlineStr">
        <is>
          <t>Governance risks</t>
        </is>
      </c>
      <c r="H31" s="24" t="inlineStr">
        <is>
          <t>Include</t>
        </is>
      </c>
      <c r="I31" s="24" t="inlineStr">
        <is>
          <t>Examines legal, ethical and governance challenges created by the autonomy and opacity of AI used in cybersecurity. Directly on the governance stage.</t>
        </is>
      </c>
      <c r="J31" s="24" t="inlineStr">
        <is>
          <t>2026-10-29</t>
        </is>
      </c>
    </row>
    <row r="32" ht="15" customHeight="1" s="17">
      <c r="A32" s="24">
        <f>ROW()-1</f>
        <v/>
      </c>
      <c r="B32" s="24" t="inlineStr">
        <is>
          <t>Cybersecurity in digital finance: Artificial intelligence-powered fraud detection and risk management</t>
        </is>
      </c>
      <c r="C32" s="24" t="inlineStr">
        <is>
          <t>Karri, N., Jangam, S. K., &amp; Pedda Muntala, P. S. R.</t>
        </is>
      </c>
      <c r="D32" s="24" t="n">
        <v>2025</v>
      </c>
      <c r="E32" s="24" t="inlineStr">
        <is>
          <t>OpenAlex, Query A (protocol string; title+abstract; 2023-2026; has abstract), rank 7</t>
        </is>
      </c>
      <c r="F32" s="24" t="inlineStr">
        <is>
          <t>Conference paper (IEEE ICDSINC 2025)</t>
        </is>
      </c>
      <c r="G32" s="24" t="inlineStr">
        <is>
          <t>Security controls</t>
        </is>
      </c>
      <c r="H32" s="24" t="inlineStr">
        <is>
          <t>Exclude</t>
        </is>
      </c>
      <c r="I32" s="24" t="inlineStr">
        <is>
          <t>Out of scope for the same reason as #29: a fraud-detection model paper. Different authors from #29 despite the identical title; both logged so the duplicate title is visible.</t>
        </is>
      </c>
      <c r="J32" s="24" t="inlineStr">
        <is>
          <t>2026-10-29</t>
        </is>
      </c>
    </row>
    <row r="33" ht="15" customHeight="1" s="17">
      <c r="A33" s="24">
        <f>ROW()-1</f>
        <v/>
      </c>
      <c r="B33" s="24" t="inlineStr">
        <is>
          <t>Integrated risk management and artificial intelligence in hospital</t>
        </is>
      </c>
      <c r="C33" s="24" t="inlineStr">
        <is>
          <t>Bozic, V.</t>
        </is>
      </c>
      <c r="D33" s="24" t="n">
        <v>2023</v>
      </c>
      <c r="E33" s="24" t="inlineStr">
        <is>
          <t>OpenAlex, Query A (protocol string; title+abstract; 2023-2026; has abstract), rank 8</t>
        </is>
      </c>
      <c r="F33" s="24" t="inlineStr">
        <is>
          <t>Journal article (Journal of AI, 7(1), 63-80)</t>
        </is>
      </c>
      <c r="G33" s="24" t="inlineStr">
        <is>
          <t>Security risks</t>
        </is>
      </c>
      <c r="H33" s="24" t="inlineStr">
        <is>
          <t>Exclude</t>
        </is>
      </c>
      <c r="I33" s="24" t="inlineStr">
        <is>
          <t>Off topic: hospital integrated risk management (patient safety, clinical risk). Information security is one item in a list, not the subject.</t>
        </is>
      </c>
      <c r="J33" s="24" t="inlineStr">
        <is>
          <t>2026-10-29</t>
        </is>
      </c>
    </row>
    <row r="34" ht="15" customHeight="1" s="17">
      <c r="A34" s="24">
        <f>ROW()-1</f>
        <v/>
      </c>
      <c r="B34" s="24" t="inlineStr">
        <is>
          <t>Artificial intelligence-powered cybersecurity</t>
        </is>
      </c>
      <c r="C34" s="24" t="inlineStr">
        <is>
          <t>George, S.</t>
        </is>
      </c>
      <c r="D34" s="24" t="n">
        <v>2024</v>
      </c>
      <c r="E34" s="24" t="inlineStr">
        <is>
          <t>OpenAlex, Query A (protocol string; title+abstract; 2023-2026; has abstract), rank 9</t>
        </is>
      </c>
      <c r="F34" s="24" t="inlineStr">
        <is>
          <t>Book chapter (IGI Global, Advances in Information Security, Privacy, and Ethics, pp. 247-276)</t>
        </is>
      </c>
      <c r="G34" s="24" t="inlineStr">
        <is>
          <t>Security controls</t>
        </is>
      </c>
      <c r="H34" s="24" t="inlineStr">
        <is>
          <t>Include</t>
        </is>
      </c>
      <c r="I34" s="24" t="inlineStr">
        <is>
          <t>AI for detecting ransomware, phishing and DDoS and for automating response. On topic at the control level.</t>
        </is>
      </c>
      <c r="J34" s="24" t="inlineStr">
        <is>
          <t>2026-10-29</t>
        </is>
      </c>
    </row>
    <row r="35" ht="15" customHeight="1" s="17">
      <c r="A35" s="24">
        <f>ROW()-1</f>
        <v/>
      </c>
      <c r="B35" s="24" t="inlineStr">
        <is>
          <t>The impact of artificial intelligence-based decision support systems on organizational cybersecurity and risk management</t>
        </is>
      </c>
      <c r="C35" s="24" t="inlineStr">
        <is>
          <t>Salehi Farsani, O.</t>
        </is>
      </c>
      <c r="D35" s="24" t="n">
        <v>2025</v>
      </c>
      <c r="E35" s="24" t="inlineStr">
        <is>
          <t>OpenAlex, Query A (protocol string; title+abstract; 2023-2026; has abstract), rank 10</t>
        </is>
      </c>
      <c r="F35" s="24" t="inlineStr">
        <is>
          <t>Repository article (Zenodo)</t>
        </is>
      </c>
      <c r="G35" s="24" t="inlineStr">
        <is>
          <t>Security controls</t>
        </is>
      </c>
      <c r="H35" s="24" t="inlineStr">
        <is>
          <t>Include</t>
        </is>
      </c>
      <c r="I35" s="24" t="inlineStr">
        <is>
          <t>Literature review and conceptual framework for AI decision-support systems in cybersecurity, including governance mechanisms and organizational readiness. Low evidential weight: not peer reviewed (or review status unclear); flagged for appraisal.</t>
        </is>
      </c>
      <c r="J35" s="24" t="inlineStr">
        <is>
          <t>2026-10-29</t>
        </is>
      </c>
    </row>
    <row r="36" ht="15" customHeight="1" s="17">
      <c r="A36" s="24">
        <f>ROW()-1</f>
        <v/>
      </c>
      <c r="B36" s="24" t="inlineStr">
        <is>
          <t>A study on cybersecurity threats in artificial intelligence (AI): Implications for business strategy and risk management</t>
        </is>
      </c>
      <c r="C36" s="24" t="inlineStr">
        <is>
          <t>Vaddi, S. S. K.</t>
        </is>
      </c>
      <c r="D36" s="24" t="n">
        <v>2025</v>
      </c>
      <c r="E36" s="24" t="inlineStr">
        <is>
          <t>OpenAlex, Query A (protocol string; title+abstract; 2023-2026; has abstract), rank 11</t>
        </is>
      </c>
      <c r="F36" s="24" t="inlineStr">
        <is>
          <t>Journal article (Samvakti J. of Research in IT, 6(1), 142-151)</t>
        </is>
      </c>
      <c r="G36" s="24" t="inlineStr">
        <is>
          <t>Security risks</t>
        </is>
      </c>
      <c r="H36" s="24" t="inlineStr">
        <is>
          <t>Include</t>
        </is>
      </c>
      <c r="I36" s="24" t="inlineStr">
        <is>
          <t>Threats to AI models (adversarial attacks, data poisoning) and what they mean for business risk management.</t>
        </is>
      </c>
      <c r="J36" s="24" t="inlineStr">
        <is>
          <t>2026-10-29</t>
        </is>
      </c>
    </row>
    <row r="37" ht="15" customHeight="1" s="17">
      <c r="A37" s="24">
        <f>ROW()-1</f>
        <v/>
      </c>
      <c r="B37" s="24" t="inlineStr">
        <is>
          <t>Artificial intelligence and operational risk management</t>
        </is>
      </c>
      <c r="C37" s="24" t="inlineStr">
        <is>
          <t>El Haji, H., &amp; Aitmoussa, O.</t>
        </is>
      </c>
      <c r="D37" s="24" t="n">
        <v>2025</v>
      </c>
      <c r="E37" s="24" t="inlineStr">
        <is>
          <t>OpenAlex, Query A (protocol string; title+abstract; 2023-2026; has abstract), rank 12</t>
        </is>
      </c>
      <c r="F37" s="24" t="inlineStr">
        <is>
          <t>Book chapter (IGI Global, pp. 369-396)</t>
        </is>
      </c>
      <c r="G37" s="24" t="inlineStr">
        <is>
          <t>Human/organizational risks</t>
        </is>
      </c>
      <c r="H37" s="24" t="inlineStr">
        <is>
          <t>Exclude</t>
        </is>
      </c>
      <c r="I37" s="24" t="inlineStr">
        <is>
          <t>Excluded on two grounds: qualitative case study at a named bank (Banque Populaire), which is the primary-data boundary, and the subject is operational banking risk, not cybersecurity.</t>
        </is>
      </c>
      <c r="J37" s="24" t="inlineStr">
        <is>
          <t>2026-10-29</t>
        </is>
      </c>
    </row>
    <row r="38" ht="15" customHeight="1" s="17">
      <c r="A38" s="24">
        <f>ROW()-1</f>
        <v/>
      </c>
      <c r="B38" s="24" t="inlineStr">
        <is>
          <t>Artificial intelligence and cybersecurity in modern business: Improving risk management, data security, and operational efficiency</t>
        </is>
      </c>
      <c r="C38" s="24" t="inlineStr">
        <is>
          <t>Sukhi, R. A., Bhuiyan, M. S. H., Nafees, M. F., &amp; Kundu, T. R.</t>
        </is>
      </c>
      <c r="D38" s="24" t="n">
        <v>2026</v>
      </c>
      <c r="E38" s="24" t="inlineStr">
        <is>
          <t>OpenAlex, Query A (protocol string; title+abstract; 2023-2026; has abstract), rank 13</t>
        </is>
      </c>
      <c r="F38" s="24" t="inlineStr">
        <is>
          <t>Repository article (Umsida eprints; no DOI)</t>
        </is>
      </c>
      <c r="G38" s="24" t="inlineStr">
        <is>
          <t>Security risks</t>
        </is>
      </c>
      <c r="H38" s="24" t="inlineStr">
        <is>
          <t>Include</t>
        </is>
      </c>
      <c r="I38" s="24" t="inlineStr">
        <is>
          <t>Analyses a public dataset of AI security incidents (AI Sec Watch): severity, attack types, targeted AI components, CVSS/EPSS. Public data, so the primary-data boundary does not apply. Low evidential weight: not peer reviewed (or review status unclear); flagged for appraisal.</t>
        </is>
      </c>
      <c r="J38" s="24" t="inlineStr">
        <is>
          <t>2026-10-29</t>
        </is>
      </c>
    </row>
    <row r="39" ht="15" customHeight="1" s="17">
      <c r="A39" s="24">
        <f>ROW()-1</f>
        <v/>
      </c>
      <c r="B39" s="24" t="inlineStr">
        <is>
          <t>Impact of artificial intelligence on financial risk management</t>
        </is>
      </c>
      <c r="C39" s="24" t="inlineStr">
        <is>
          <t>Oguz, A.</t>
        </is>
      </c>
      <c r="D39" s="24" t="n">
        <v>2024</v>
      </c>
      <c r="E39" s="24" t="inlineStr">
        <is>
          <t>OpenAlex, Query A (protocol string; title+abstract; 2023-2026; has abstract), rank 14</t>
        </is>
      </c>
      <c r="F39" s="24" t="inlineStr">
        <is>
          <t>Journal article (Human Computer Interaction, 8(1), 153)</t>
        </is>
      </c>
      <c r="G39" s="24" t="inlineStr">
        <is>
          <t>Security controls</t>
        </is>
      </c>
      <c r="H39" s="24" t="inlineStr">
        <is>
          <t>Exclude</t>
        </is>
      </c>
      <c r="I39" s="24" t="inlineStr">
        <is>
          <t>Off topic: financial (credit and market) risk management, not cybersecurity.</t>
        </is>
      </c>
      <c r="J39" s="24" t="inlineStr">
        <is>
          <t>2026-10-29</t>
        </is>
      </c>
    </row>
    <row r="40" ht="15" customHeight="1" s="17">
      <c r="A40" s="24">
        <f>ROW()-1</f>
        <v/>
      </c>
      <c r="B40" s="24" t="inlineStr">
        <is>
          <t>The emerging cybersecurity challenges with artificial intelligence</t>
        </is>
      </c>
      <c r="C40" s="24" t="inlineStr">
        <is>
          <t>Mingo, H. C.</t>
        </is>
      </c>
      <c r="D40" s="24" t="n">
        <v>2024</v>
      </c>
      <c r="E40" s="24" t="inlineStr">
        <is>
          <t>OpenAlex, Query A (protocol string; title+abstract; 2023-2026; has abstract), rank 15</t>
        </is>
      </c>
      <c r="F40" s="24" t="inlineStr">
        <is>
          <t>Book chapter (IGI Global, pp. 163-185)</t>
        </is>
      </c>
      <c r="G40" s="24" t="inlineStr">
        <is>
          <t>AI-related threats</t>
        </is>
      </c>
      <c r="H40" s="24" t="inlineStr">
        <is>
          <t>Include</t>
        </is>
      </c>
      <c r="I40" s="24" t="inlineStr">
        <is>
          <t>Technological and socio-political risks of AI in cybersecurity, using cases such as the Microsoft Tay chatbot. On topic; descriptive.</t>
        </is>
      </c>
      <c r="J40" s="24" t="inlineStr">
        <is>
          <t>2026-10-29</t>
        </is>
      </c>
    </row>
    <row r="41" ht="15" customHeight="1" s="17">
      <c r="A41" s="24">
        <f>ROW()-1</f>
        <v/>
      </c>
      <c r="B41" s="24" t="inlineStr">
        <is>
          <t>Artificial intelligence and cybersecurity in the financial sector</t>
        </is>
      </c>
      <c r="C41" s="24" t="inlineStr">
        <is>
          <t>Adrian, T., Gaidosch, T., Moretti, M., Qureshi, M., &amp; Ravikumar, R.</t>
        </is>
      </c>
      <c r="D41" s="24" t="n">
        <v>2026</v>
      </c>
      <c r="E41" s="24" t="inlineStr">
        <is>
          <t>OpenAlex, Query A (protocol string; title+abstract; 2023-2026; has abstract), rank 16</t>
        </is>
      </c>
      <c r="F41" s="24" t="inlineStr">
        <is>
          <t>Policy note (IMF Notes 2026/005)</t>
        </is>
      </c>
      <c r="G41" s="24" t="inlineStr">
        <is>
          <t>Security risks</t>
        </is>
      </c>
      <c r="H41" s="24" t="inlineStr">
        <is>
          <t>Include</t>
        </is>
      </c>
      <c r="I41" s="24" t="inlineStr">
        <is>
          <t>Borderline, spot-checked. Argues AI's main cyber risk to the financial system is scale and speed of spread through shared infrastructure, and calls for governance and controls that limit 'blast radius'. Institutional policy note, not peer reviewed.</t>
        </is>
      </c>
      <c r="J41" s="24" t="inlineStr">
        <is>
          <t>2026-10-29</t>
        </is>
      </c>
    </row>
    <row r="42" ht="15" customHeight="1" s="17">
      <c r="A42" s="24">
        <f>ROW()-1</f>
        <v/>
      </c>
      <c r="B42" s="24" t="inlineStr">
        <is>
          <t>A survey on artificial intelligence in cybersecurity for smart agriculture: State-of-the-art, cyber threats, artificial intelligence applications, and ethical concerns</t>
        </is>
      </c>
      <c r="C42" s="24" t="inlineStr">
        <is>
          <t>Ali, G., Mijwil, M. M., Buruga, B. A., Abotaleb, M. S. A., &amp; Adamopoulos, I.</t>
        </is>
      </c>
      <c r="D42" s="24" t="n">
        <v>2024</v>
      </c>
      <c r="E42" s="24" t="inlineStr">
        <is>
          <t>OpenAlex, Query A (protocol string; title+abstract; 2023-2026; has abstract), rank 17</t>
        </is>
      </c>
      <c r="F42" s="24" t="inlineStr">
        <is>
          <t>Journal article (Mesopotamian J. Computer Science, 2024, 53-103)</t>
        </is>
      </c>
      <c r="G42" s="24" t="inlineStr">
        <is>
          <t>AI-related threats</t>
        </is>
      </c>
      <c r="H42" s="24" t="inlineStr">
        <is>
          <t>Include</t>
        </is>
      </c>
      <c r="I42" s="24" t="inlineStr">
        <is>
          <t>Survey of cyber threats and AI defences in smart agriculture, with ethical concerns. On topic; sector-specific.</t>
        </is>
      </c>
      <c r="J42" s="24" t="inlineStr">
        <is>
          <t>2026-10-29</t>
        </is>
      </c>
    </row>
    <row r="43" ht="15" customHeight="1" s="17">
      <c r="A43" s="24">
        <f>ROW()-1</f>
        <v/>
      </c>
      <c r="B43" s="24" t="inlineStr">
        <is>
          <t>The impact of artificial intelligence on enterprise risk management</t>
        </is>
      </c>
      <c r="C43" s="24" t="inlineStr">
        <is>
          <t>Long, Q.</t>
        </is>
      </c>
      <c r="D43" s="24" t="n">
        <v>2026</v>
      </c>
      <c r="E43" s="24" t="inlineStr">
        <is>
          <t>OpenAlex, Query A (protocol string; title+abstract; 2023-2026; has abstract), rank 18</t>
        </is>
      </c>
      <c r="F43" s="24" t="inlineStr">
        <is>
          <t>Journal article (Adv. Econ. Mgmt. Pol. Sci., 261(1), 10-16)</t>
        </is>
      </c>
      <c r="G43" s="24" t="inlineStr">
        <is>
          <t>Governance risks</t>
        </is>
      </c>
      <c r="H43" s="24" t="inlineStr">
        <is>
          <t>Exclude</t>
        </is>
      </c>
      <c r="I43" s="24" t="inlineStr">
        <is>
          <t>Borderline, spot-checked. General enterprise risk management; cybersecurity is one of three case areas alongside finance and supply chain, so it is not substantively about cybersecurity risk management.</t>
        </is>
      </c>
      <c r="J43" s="24" t="inlineStr">
        <is>
          <t>2026-10-29</t>
        </is>
      </c>
    </row>
    <row r="44" ht="15" customHeight="1" s="17">
      <c r="A44" s="24">
        <f>ROW()-1</f>
        <v/>
      </c>
      <c r="B44" s="24" t="inlineStr">
        <is>
          <t>Artificial intelligence-based dynamic risk management models in cybersecurity: Real-time monitoring and decision making</t>
        </is>
      </c>
      <c r="C44" s="24" t="inlineStr">
        <is>
          <t>Uralov, J., Adamboyev, S., &amp; Sobirova, S.</t>
        </is>
      </c>
      <c r="D44" s="24" t="n">
        <v>2025</v>
      </c>
      <c r="E44" s="24" t="inlineStr">
        <is>
          <t>OpenAlex, Query A (protocol string; title+abstract; 2023-2026; has abstract), rank 19</t>
        </is>
      </c>
      <c r="F44" s="24" t="inlineStr">
        <is>
          <t>Journal article (Universum: Technical Sciences, 132(3))</t>
        </is>
      </c>
      <c r="G44" s="24" t="inlineStr">
        <is>
          <t>Security controls</t>
        </is>
      </c>
      <c r="H44" s="24" t="inlineStr">
        <is>
          <t>Exclude</t>
        </is>
      </c>
      <c r="I44" s="24" t="inlineStr">
        <is>
          <t>Could not be screened: the index's abstract field holds only a citation, and the title alone is not enough to apply the rule. Logged as Exclude so the gap is visible; reopen if the full text is obtained.</t>
        </is>
      </c>
      <c r="J44" s="24" t="inlineStr">
        <is>
          <t>2026-10-29</t>
        </is>
      </c>
    </row>
    <row r="45" ht="15" customHeight="1" s="17">
      <c r="A45" s="24">
        <f>ROW()-1</f>
        <v/>
      </c>
      <c r="B45" s="24" t="inlineStr">
        <is>
          <t>Comparative analysis of cybersecurity artificial intelligence frameworks</t>
        </is>
      </c>
      <c r="C45" s="24" t="inlineStr">
        <is>
          <t>Almeida, F. L.</t>
        </is>
      </c>
      <c r="D45" s="24" t="n">
        <v>2025</v>
      </c>
      <c r="E45" s="24" t="inlineStr">
        <is>
          <t>OpenAlex, Query A (protocol string; title+abstract; 2023-2026; has abstract), rank 20</t>
        </is>
      </c>
      <c r="F45" s="24" t="inlineStr">
        <is>
          <t>Journal article (Information Security Journal: A Global Perspective, 1-17)</t>
        </is>
      </c>
      <c r="G45" s="24" t="inlineStr">
        <is>
          <t>Governance risks</t>
        </is>
      </c>
      <c r="H45" s="24" t="inlineStr">
        <is>
          <t>Include</t>
        </is>
      </c>
      <c r="I45" s="24" t="inlineStr">
        <is>
          <t>Compares NIST AI RMF, MITRE ATLAS, ENISA, ISO/IEC 42001 and AI-SEC on six dimensions; finds gaps in human capacity building and long-term threat monitoring. Compares frameworks with each other, but does not trace threats to controls to clauses. Important comparison point.</t>
        </is>
      </c>
      <c r="J45" s="24" t="inlineStr">
        <is>
          <t>2026-10-29</t>
        </is>
      </c>
    </row>
    <row r="46" ht="15" customHeight="1" s="17">
      <c r="A46" s="24">
        <f>ROW()-1</f>
        <v/>
      </c>
      <c r="B46" s="24" t="inlineStr">
        <is>
          <t>Artificial intelligence governance in business: Ensuring data privacy compliance and mitigating cybersecurity risks</t>
        </is>
      </c>
      <c r="C46" s="24" t="inlineStr">
        <is>
          <t>Alam, M. Z., Halder, J. P., Mohammad, A. R., &amp; Khatun, M. M.</t>
        </is>
      </c>
      <c r="D46" s="24" t="n">
        <v>2024</v>
      </c>
      <c r="E46" s="24" t="inlineStr">
        <is>
          <t>OpenAlex, Query B (protocol string + privacy), rank 8</t>
        </is>
      </c>
      <c r="F46" s="24" t="inlineStr">
        <is>
          <t>Repository article (Umsida eprints; no DOI)</t>
        </is>
      </c>
      <c r="G46" s="24" t="inlineStr">
        <is>
          <t>Privacy risks</t>
        </is>
      </c>
      <c r="H46" s="24" t="inlineStr">
        <is>
          <t>Include</t>
        </is>
      </c>
      <c r="I46" s="24" t="inlineStr">
        <is>
          <t>How AI governance frameworks support data privacy compliance and reduce cybersecurity risk in enterprises. Low evidential weight: not peer reviewed (or review status unclear); flagged for appraisal.</t>
        </is>
      </c>
      <c r="J46" s="24" t="inlineStr">
        <is>
          <t>2026-10-29</t>
        </is>
      </c>
    </row>
    <row r="47" ht="15" customHeight="1" s="17">
      <c r="A47" s="24">
        <f>ROW()-1</f>
        <v/>
      </c>
      <c r="B47" s="24" t="inlineStr">
        <is>
          <t>Artificial intelligence for disaster risk management in the beauty industry</t>
        </is>
      </c>
      <c r="C47" s="24" t="inlineStr">
        <is>
          <t>Nosraty, N., Soroori Sarabi, A., Arsalani, A., Toosi, R., &amp; Sharajsharifi, M.</t>
        </is>
      </c>
      <c r="D47" s="24" t="n">
        <v>2025</v>
      </c>
      <c r="E47" s="24" t="inlineStr">
        <is>
          <t>OpenAlex, Query B (protocol string + privacy), rank 9</t>
        </is>
      </c>
      <c r="F47" s="24" t="inlineStr">
        <is>
          <t>Journal article (IJAMRS, 5(3), 1076-1086)</t>
        </is>
      </c>
      <c r="G47" s="24" t="inlineStr">
        <is>
          <t>Security risks</t>
        </is>
      </c>
      <c r="H47" s="24" t="inlineStr">
        <is>
          <t>Exclude</t>
        </is>
      </c>
      <c r="I47" s="24" t="inlineStr">
        <is>
          <t>Off topic: disaster risk management in one industry; cybersecurity is one item among supply chain and crisis response.</t>
        </is>
      </c>
      <c r="J47" s="24" t="inlineStr">
        <is>
          <t>2026-10-29</t>
        </is>
      </c>
    </row>
    <row r="48" ht="15" customHeight="1" s="17">
      <c r="A48" s="24">
        <f>ROW()-1</f>
        <v/>
      </c>
      <c r="B48" s="24" t="inlineStr">
        <is>
          <t>The impact of artificial intelligence technologies on cybersecurity policy</t>
        </is>
      </c>
      <c r="C48" s="24" t="inlineStr">
        <is>
          <t>Abdurahmanli, E.</t>
        </is>
      </c>
      <c r="D48" s="24" t="n">
        <v>2026</v>
      </c>
      <c r="E48" s="24" t="inlineStr">
        <is>
          <t>OpenAlex, Query B (protocol string + privacy), rank 10</t>
        </is>
      </c>
      <c r="F48" s="24" t="inlineStr">
        <is>
          <t>Repository article (Zenodo)</t>
        </is>
      </c>
      <c r="G48" s="24" t="inlineStr">
        <is>
          <t>Governance risks</t>
        </is>
      </c>
      <c r="H48" s="24" t="inlineStr">
        <is>
          <t>Include</t>
        </is>
      </c>
      <c r="I48" s="24" t="inlineStr">
        <is>
          <t>How AI changes cybersecurity and digital governance policy. Low evidential weight: not peer reviewed (or review status unclear); flagged for appraisal.</t>
        </is>
      </c>
      <c r="J48" s="24" t="inlineStr">
        <is>
          <t>2026-10-29</t>
        </is>
      </c>
    </row>
    <row r="49" ht="15" customHeight="1" s="17">
      <c r="A49" s="24">
        <f>ROW()-1</f>
        <v/>
      </c>
      <c r="B49" s="24" t="inlineStr">
        <is>
          <t>Governance considerations of adversarial attacks on AI systems</t>
        </is>
      </c>
      <c r="C49" s="24" t="inlineStr">
        <is>
          <t>Lekota, N.</t>
        </is>
      </c>
      <c r="D49" s="24" t="n">
        <v>2024</v>
      </c>
      <c r="E49" s="24" t="inlineStr">
        <is>
          <t>OpenAlex, Query C (adversarial attacks / data poisoning / prompt injection + risk management), rank 1</t>
        </is>
      </c>
      <c r="F49" s="24" t="inlineStr">
        <is>
          <t>Conference paper (Proc. Int. Conf. on AI Research, 4(1), 227-233)</t>
        </is>
      </c>
      <c r="G49" s="24" t="inlineStr">
        <is>
          <t>Security risks</t>
        </is>
      </c>
      <c r="H49" s="24" t="inlineStr">
        <is>
          <t>Include</t>
        </is>
      </c>
      <c r="I49" s="24" t="inlineStr">
        <is>
          <t>Governance challenges created by adversarial attacks on AI systems (privacy violations, biased outcomes, loss of trust). Links a security risk directly to governance.</t>
        </is>
      </c>
      <c r="J49" s="24" t="inlineStr">
        <is>
          <t>2026-10-29</t>
        </is>
      </c>
    </row>
    <row r="50" ht="15" customHeight="1" s="17">
      <c r="A50" s="24">
        <f>ROW()-1</f>
        <v/>
      </c>
      <c r="B50" s="24" t="inlineStr">
        <is>
          <t>AI risk management should incorporate both safety and security</t>
        </is>
      </c>
      <c r="C50" s="24" t="inlineStr">
        <is>
          <t>Qi, X., Huang, Y., Zeng, Y., Debenedetti, E., Geiping, J., He, L., et al. (25 authors)</t>
        </is>
      </c>
      <c r="D50" s="24" t="n">
        <v>2024</v>
      </c>
      <c r="E50" s="24" t="inlineStr">
        <is>
          <t>OpenAlex, Query C (adversarial attacks / data poisoning / prompt injection + risk management), rank 2</t>
        </is>
      </c>
      <c r="F50" s="24" t="inlineStr">
        <is>
          <t>Preprint (arXiv 2405.19524)</t>
        </is>
      </c>
      <c r="G50" s="24" t="inlineStr">
        <is>
          <t>Security risks</t>
        </is>
      </c>
      <c r="H50" s="24" t="inlineStr">
        <is>
          <t>Include</t>
        </is>
      </c>
      <c r="I50" s="24" t="inlineStr">
        <is>
          <t>Position paper arguing AI risk management must treat safety and security together, using jailbreak and adversarial vulnerabilities of aligned models as evidence. Preprint: depends on the open preprint question.</t>
        </is>
      </c>
      <c r="J50" s="24" t="inlineStr">
        <is>
          <t>2026-10-29</t>
        </is>
      </c>
    </row>
    <row r="51" ht="15" customHeight="1" s="17">
      <c r="A51" s="24">
        <f>ROW()-1</f>
        <v/>
      </c>
      <c r="B51" s="24" t="inlineStr">
        <is>
          <t>Managing cyber risks in the face of AI- and ML-driven adversarial attacks</t>
        </is>
      </c>
      <c r="C51" s="24" t="inlineStr">
        <is>
          <t>Chimamiwa, G.</t>
        </is>
      </c>
      <c r="D51" s="24" t="n">
        <v>2024</v>
      </c>
      <c r="E51" s="24" t="inlineStr">
        <is>
          <t>OpenAlex, Query C (adversarial attacks / data poisoning / prompt injection + risk management), rank 3</t>
        </is>
      </c>
      <c r="F51" s="24" t="inlineStr">
        <is>
          <t>Conference paper (SBS-JABR conference, pp. 71-79)</t>
        </is>
      </c>
      <c r="G51" s="24" t="inlineStr">
        <is>
          <t>AI-related threats</t>
        </is>
      </c>
      <c r="H51" s="24" t="inlineStr">
        <is>
          <t>Include</t>
        </is>
      </c>
      <c r="I51" s="24" t="inlineStr">
        <is>
          <t>Critical analysis of whether enterprise cyber risk management practice can cope with AI-driven attacks. Attacker-side AI, which is the role with no AI-framework clause in Display 2.</t>
        </is>
      </c>
      <c r="J51" s="24" t="inlineStr">
        <is>
          <t>2026-10-29</t>
        </is>
      </c>
    </row>
    <row r="52" ht="15" customHeight="1" s="17">
      <c r="A52" s="24">
        <f>ROW()-1</f>
        <v/>
      </c>
      <c r="B52" s="24" t="inlineStr">
        <is>
          <t>A layered risk and controls framework for prompt injection in enterprise AI tooling</t>
        </is>
      </c>
      <c r="C52" s="24" t="inlineStr">
        <is>
          <t>Sany, J.</t>
        </is>
      </c>
      <c r="D52" s="24" t="n">
        <v>2026</v>
      </c>
      <c r="E52" s="24" t="inlineStr">
        <is>
          <t>OpenAlex, Query C (adversarial attacks / data poisoning / prompt injection + risk management), rank 4</t>
        </is>
      </c>
      <c r="F52" s="24" t="inlineStr">
        <is>
          <t>Preprint (Zenodo)</t>
        </is>
      </c>
      <c r="G52" s="24" t="inlineStr">
        <is>
          <t>Security risks</t>
        </is>
      </c>
      <c r="H52" s="24" t="inlineStr">
        <is>
          <t>Include</t>
        </is>
      </c>
      <c r="I52" s="24" t="inlineStr">
        <is>
          <t>Treats prompt injection as a layered risk needing controls at several points, not one classifier. Directly threat-to-control. Low evidential weight: not peer reviewed (or review status unclear); flagged for appraisal.</t>
        </is>
      </c>
      <c r="J52" s="24" t="inlineStr">
        <is>
          <t>2026-10-29</t>
        </is>
      </c>
    </row>
    <row r="53" ht="15" customHeight="1" s="17">
      <c r="A53" s="24">
        <f>ROW()-1</f>
        <v/>
      </c>
      <c r="B53" s="24" t="inlineStr">
        <is>
          <t>Adversarial attacks on AI systems and multi-layer defense mechanisms for user data protection</t>
        </is>
      </c>
      <c r="C53" s="24" t="inlineStr">
        <is>
          <t>Yadati, N. S. P. K., Balakumar, G., Pulapaka, R., Bottu, V., Vijay, V., &amp; Patel, A.</t>
        </is>
      </c>
      <c r="D53" s="24" t="n">
        <v>2026</v>
      </c>
      <c r="E53" s="24" t="inlineStr">
        <is>
          <t>OpenAlex, Query C (adversarial attacks / data poisoning / prompt injection + risk management), rank 5</t>
        </is>
      </c>
      <c r="F53" s="24" t="inlineStr">
        <is>
          <t>Conference paper (IEEE ICAISET 2026, pp. 1-4)</t>
        </is>
      </c>
      <c r="G53" s="24" t="inlineStr">
        <is>
          <t>Security risks</t>
        </is>
      </c>
      <c r="H53" s="24" t="inlineStr">
        <is>
          <t>Include</t>
        </is>
      </c>
      <c r="I53" s="24" t="inlineStr">
        <is>
          <t>Borderline, spot-checked: benchmarks six defences against four attack types (a technical paper), but compares what defences achieve rather than how they work, and maps results to GDPR/CCPA and NIST AI RMF. One of very few sources that measure control effectiveness.</t>
        </is>
      </c>
      <c r="J53" s="24" t="inlineStr">
        <is>
          <t>2026-10-29</t>
        </is>
      </c>
    </row>
    <row r="54" ht="15" customHeight="1" s="17">
      <c r="A54" s="24">
        <f>ROW()-1</f>
        <v/>
      </c>
      <c r="B54" s="24" t="inlineStr">
        <is>
          <t>Operationalizing artificial intelligence security in the cloud: A practical integration framework for enterprise risk management</t>
        </is>
      </c>
      <c r="C54" s="24" t="inlineStr">
        <is>
          <t>Narayanan, S.</t>
        </is>
      </c>
      <c r="D54" s="24" t="n">
        <v>2023</v>
      </c>
      <c r="E54" s="24" t="inlineStr">
        <is>
          <t>OpenAlex, Query C (adversarial attacks / data poisoning / prompt injection + risk management), rank 6</t>
        </is>
      </c>
      <c r="F54" s="24" t="inlineStr">
        <is>
          <t>Journal article (IJFIST, 6(3))</t>
        </is>
      </c>
      <c r="G54" s="24" t="inlineStr">
        <is>
          <t>Security risks</t>
        </is>
      </c>
      <c r="H54" s="24" t="inlineStr">
        <is>
          <t>Include</t>
        </is>
      </c>
      <c r="I54" s="24" t="inlineStr">
        <is>
          <t>Argues enterprise risk programmes treat AI workloads as ordinary IT assets and miss prompt injection, model drift, data poisoning and API abuse; proposes an integration framework.</t>
        </is>
      </c>
      <c r="J54" s="24" t="inlineStr">
        <is>
          <t>2026-10-29</t>
        </is>
      </c>
    </row>
    <row r="55" ht="15" customHeight="1" s="17">
      <c r="A55" s="24">
        <f>ROW()-1</f>
        <v/>
      </c>
      <c r="B55" s="24" t="inlineStr">
        <is>
          <t>Analysis of information security risk management toolkit using artificial intelligence technologies</t>
        </is>
      </c>
      <c r="C55" s="24" t="inlineStr">
        <is>
          <t>Ivanusa, A., Ilkiv, A. V., Maslova, N., Balatska, V., &amp; Nykolaichuk, M. I.</t>
        </is>
      </c>
      <c r="D55" s="24" t="n">
        <v>2026</v>
      </c>
      <c r="E55" s="24" t="inlineStr">
        <is>
          <t>OpenAlex, Query C (adversarial attacks / data poisoning / prompt injection + risk management), rank 7</t>
        </is>
      </c>
      <c r="F55" s="24" t="inlineStr">
        <is>
          <t>Journal article (Bull. Lviv State Univ. of Life Safety, 33, 180-189)</t>
        </is>
      </c>
      <c r="G55" s="24" t="inlineStr">
        <is>
          <t>Security controls</t>
        </is>
      </c>
      <c r="H55" s="24" t="inlineStr">
        <is>
          <t>Include</t>
        </is>
      </c>
      <c r="I55" s="24" t="inlineStr">
        <is>
          <t>AI tools for information security risk management, and the new risks they bring (model vulnerability, opacity, data manipulation).</t>
        </is>
      </c>
      <c r="J55" s="24" t="inlineStr">
        <is>
          <t>2026-10-29</t>
        </is>
      </c>
    </row>
    <row r="56" ht="15" customHeight="1" s="17">
      <c r="A56" s="24">
        <f>ROW()-1</f>
        <v/>
      </c>
      <c r="B56" s="24" t="inlineStr">
        <is>
          <t>Operationalizing enterprise AI security: An open-source framework for AI cyber risk management</t>
        </is>
      </c>
      <c r="C56" s="24" t="inlineStr">
        <is>
          <t>Harguess, J. D., Ward, C. M., &amp; Cardinal, E.</t>
        </is>
      </c>
      <c r="D56" s="24" t="n">
        <v>2026</v>
      </c>
      <c r="E56" s="24" t="inlineStr">
        <is>
          <t>OpenAlex, Query C (adversarial attacks / data poisoning / prompt injection + risk management), rank 8</t>
        </is>
      </c>
      <c r="F56" s="24" t="inlineStr">
        <is>
          <t>Conference abstract (SPIE, Assurance and Security for AI-enabled Systems)</t>
        </is>
      </c>
      <c r="G56" s="24" t="inlineStr">
        <is>
          <t>Governance risks</t>
        </is>
      </c>
      <c r="H56" s="24" t="inlineStr">
        <is>
          <t>Include</t>
        </is>
      </c>
      <c r="I56" s="24" t="inlineStr">
        <is>
          <t>Links NIST AI RMF functions to a risk taxonomy and 25 control domains. A partial chain at function level; conference abstract only, so detail is limited.</t>
        </is>
      </c>
      <c r="J56" s="24" t="inlineStr">
        <is>
          <t>2026-10-29</t>
        </is>
      </c>
    </row>
    <row r="57" ht="15" customHeight="1" s="17">
      <c r="A57" s="24">
        <f>ROW()-1</f>
        <v/>
      </c>
      <c r="B57" s="24" t="inlineStr">
        <is>
          <t>Trustworthy AI risk management, robustness assessment, and regulatory compliance in fintech</t>
        </is>
      </c>
      <c r="C57" s="24" t="inlineStr">
        <is>
          <t>Saeed, H., &amp; Riaz, M.</t>
        </is>
      </c>
      <c r="D57" s="24" t="n">
        <v>2026</v>
      </c>
      <c r="E57" s="24" t="inlineStr">
        <is>
          <t>OpenAlex, Query C (adversarial attacks / data poisoning / prompt injection + risk management), rank 10</t>
        </is>
      </c>
      <c r="F57" s="24" t="inlineStr">
        <is>
          <t>Journal article (Finance and Management Review; no DOI)</t>
        </is>
      </c>
      <c r="G57" s="24" t="inlineStr">
        <is>
          <t>Compliance risks</t>
        </is>
      </c>
      <c r="H57" s="24" t="inlineStr">
        <is>
          <t>Include</t>
        </is>
      </c>
      <c r="I57" s="24" t="inlineStr">
        <is>
          <t>Lifecycle risk, robustness and regulatory compliance for AI in fintech, including cybersecurity.</t>
        </is>
      </c>
      <c r="J57" s="24" t="inlineStr">
        <is>
          <t>2026-10-29</t>
        </is>
      </c>
    </row>
    <row r="58" ht="15" customHeight="1" s="17">
      <c r="A58" s="24">
        <f>ROW()-1</f>
        <v/>
      </c>
      <c r="B58" s="24" t="inlineStr">
        <is>
          <t>Human factors in fintech cybersecurity: Addressing insider threats and behavioral risks</t>
        </is>
      </c>
      <c r="C58" s="24" t="inlineStr">
        <is>
          <t>Ayanbode, N., Abieba, O. A., Chukwurah, N., Ajayi, O. O., &amp; Daraojimba, A. I.</t>
        </is>
      </c>
      <c r="D58" s="24" t="n">
        <v>2024</v>
      </c>
      <c r="E58" s="24" t="inlineStr">
        <is>
          <t>OpenAlex, Query D (insider threat / human factors / shadow AI / awareness + AI + cybersecurity), rank 1</t>
        </is>
      </c>
      <c r="F58" s="24" t="inlineStr">
        <is>
          <t>Journal article (IJMRGE, 5(1), 1350-1356)</t>
        </is>
      </c>
      <c r="G58" s="24" t="inlineStr">
        <is>
          <t>Human/organizational risks</t>
        </is>
      </c>
      <c r="H58" s="24" t="inlineStr">
        <is>
          <t>Exclude</t>
        </is>
      </c>
      <c r="I58" s="24" t="inlineStr">
        <is>
          <t>Borderline, spot-checked. Human factors and insider threats in fintech; AI appears only as one possible detection aid in one sentence, so AI is not substantive.</t>
        </is>
      </c>
      <c r="J58" s="24" t="inlineStr">
        <is>
          <t>2026-10-29</t>
        </is>
      </c>
    </row>
    <row r="59" ht="15" customHeight="1" s="17">
      <c r="A59" s="24">
        <f>ROW()-1</f>
        <v/>
      </c>
      <c r="B59" s="24" t="inlineStr">
        <is>
          <t>Artificial intelligence driven anomaly detection for insider threat mitigation in cybersecurity</t>
        </is>
      </c>
      <c r="C59" s="24" t="inlineStr">
        <is>
          <t>Raja, V., &amp; Suresh, K. S.</t>
        </is>
      </c>
      <c r="D59" s="24" t="n">
        <v>2025</v>
      </c>
      <c r="E59" s="24" t="inlineStr">
        <is>
          <t>OpenAlex, Query D (insider threat / human factors / shadow AI / awareness + AI + cybersecurity), rank 2</t>
        </is>
      </c>
      <c r="F59" s="24" t="inlineStr">
        <is>
          <t>Conference paper (SMART 2025, pp. 631-635)</t>
        </is>
      </c>
      <c r="G59" s="24" t="inlineStr">
        <is>
          <t>Human/organizational risks</t>
        </is>
      </c>
      <c r="H59" s="24" t="inlineStr">
        <is>
          <t>Exclude</t>
        </is>
      </c>
      <c r="I59" s="24" t="inlineStr">
        <is>
          <t>Out of scope: builds RNN/LSTM detection models. Low-level algorithmic boundary, same reason as #10.</t>
        </is>
      </c>
      <c r="J59" s="24" t="inlineStr">
        <is>
          <t>2026-10-29</t>
        </is>
      </c>
    </row>
    <row r="60" ht="15" customHeight="1" s="17">
      <c r="A60" s="24">
        <f>ROW()-1</f>
        <v/>
      </c>
      <c r="B60" s="24" t="inlineStr">
        <is>
          <t>Cybersecurity and cyberbiosecurity insider threat risk management</t>
        </is>
      </c>
      <c r="C60" s="24" t="inlineStr">
        <is>
          <t>Burrell, D. N., Nobles, C., Cusak, A., Jones, L. A., Wright, J. B., Mingo, H. C., et al.</t>
        </is>
      </c>
      <c r="D60" s="24" t="n">
        <v>2023</v>
      </c>
      <c r="E60" s="24" t="inlineStr">
        <is>
          <t>OpenAlex, Query D (insider threat / human factors / shadow AI / awareness + AI + cybersecurity), rank 3</t>
        </is>
      </c>
      <c r="F60" s="24" t="inlineStr">
        <is>
          <t>Book chapter (IGI Global, pp. 121-136)</t>
        </is>
      </c>
      <c r="G60" s="24" t="inlineStr">
        <is>
          <t>Human/organizational risks</t>
        </is>
      </c>
      <c r="H60" s="24" t="inlineStr">
        <is>
          <t>Exclude</t>
        </is>
      </c>
      <c r="I60" s="24" t="inlineStr">
        <is>
          <t>Insider threat risk management; AI appears only as one industry where insiders work, not as part of the risk or control.</t>
        </is>
      </c>
      <c r="J60" s="24" t="inlineStr">
        <is>
          <t>2026-10-29</t>
        </is>
      </c>
    </row>
    <row r="61" ht="15" customHeight="1" s="17">
      <c r="A61" s="24">
        <f>ROW()-1</f>
        <v/>
      </c>
      <c r="B61" s="24" t="inlineStr">
        <is>
          <t>Unveiling shadows: Harnessing artificial intelligence for insider threat detection</t>
        </is>
      </c>
      <c r="C61" s="24" t="inlineStr">
        <is>
          <t>Yilmaz, E., &amp; Can, O.</t>
        </is>
      </c>
      <c r="D61" s="24" t="n">
        <v>2024</v>
      </c>
      <c r="E61" s="24" t="inlineStr">
        <is>
          <t>OpenAlex, Query D (insider threat / human factors / shadow AI / awareness + AI + cybersecurity), rank 4</t>
        </is>
      </c>
      <c r="F61" s="24" t="inlineStr">
        <is>
          <t>Journal article (Eng. Technol. Appl. Sci. Res., 14(2), 13341-13346)</t>
        </is>
      </c>
      <c r="G61" s="24" t="inlineStr">
        <is>
          <t>Human/organizational risks</t>
        </is>
      </c>
      <c r="H61" s="24" t="inlineStr">
        <is>
          <t>Include</t>
        </is>
      </c>
      <c r="I61" s="24" t="inlineStr">
        <is>
          <t>Synthesises AI approaches to insider threat detection (behaviour analytics, NLP, LLMs, graphs) and their limits (scarce data, privacy). Kept at the approach level, so inside the boundary.</t>
        </is>
      </c>
      <c r="J61" s="24" t="inlineStr">
        <is>
          <t>2026-10-29</t>
        </is>
      </c>
    </row>
    <row r="62" ht="15" customHeight="1" s="17">
      <c r="A62" s="25">
        <f>ROW()-1</f>
        <v/>
      </c>
      <c r="B62" s="25" t="n"/>
      <c r="C62" s="25" t="n"/>
      <c r="D62" s="25" t="n"/>
      <c r="E62" s="25" t="n"/>
      <c r="F62" s="25" t="n"/>
      <c r="G62" s="25" t="n"/>
      <c r="H62" s="25" t="n"/>
      <c r="I62" s="25" t="n"/>
      <c r="J62" s="25" t="n"/>
    </row>
    <row r="63" ht="15" customHeight="1" s="17">
      <c r="A63" s="25">
        <f>ROW()-1</f>
        <v/>
      </c>
      <c r="B63" s="25" t="n"/>
      <c r="C63" s="25" t="n"/>
      <c r="D63" s="25" t="n"/>
      <c r="E63" s="25" t="n"/>
      <c r="F63" s="25" t="n"/>
      <c r="G63" s="25" t="n"/>
      <c r="H63" s="25" t="n"/>
      <c r="I63" s="25" t="n"/>
      <c r="J63" s="25" t="n"/>
    </row>
    <row r="64" ht="15" customHeight="1" s="17">
      <c r="A64" s="25">
        <f>ROW()-1</f>
        <v/>
      </c>
      <c r="B64" s="25" t="n"/>
      <c r="C64" s="25" t="n"/>
      <c r="D64" s="25" t="n"/>
      <c r="E64" s="25" t="n"/>
      <c r="F64" s="25" t="n"/>
      <c r="G64" s="25" t="n"/>
      <c r="H64" s="25" t="n"/>
      <c r="I64" s="25" t="n"/>
      <c r="J64" s="25" t="n"/>
    </row>
    <row r="65" ht="15" customHeight="1" s="17">
      <c r="A65" s="25">
        <f>ROW()-1</f>
        <v/>
      </c>
      <c r="B65" s="25" t="n"/>
      <c r="C65" s="25" t="n"/>
      <c r="D65" s="25" t="n"/>
      <c r="E65" s="25" t="n"/>
      <c r="F65" s="25" t="n"/>
      <c r="G65" s="25" t="n"/>
      <c r="H65" s="25" t="n"/>
      <c r="I65" s="25" t="n"/>
      <c r="J65" s="25" t="n"/>
    </row>
    <row r="66" ht="15" customHeight="1" s="17">
      <c r="A66" s="25">
        <f>ROW()-1</f>
        <v/>
      </c>
      <c r="B66" s="25" t="n"/>
      <c r="C66" s="25" t="n"/>
      <c r="D66" s="25" t="n"/>
      <c r="E66" s="25" t="n"/>
      <c r="F66" s="25" t="n"/>
      <c r="G66" s="25" t="n"/>
      <c r="H66" s="25" t="n"/>
      <c r="I66" s="25" t="n"/>
      <c r="J66" s="25" t="n"/>
    </row>
    <row r="67" ht="15" customHeight="1" s="17">
      <c r="A67" s="25">
        <f>ROW()-1</f>
        <v/>
      </c>
      <c r="B67" s="25" t="n"/>
      <c r="C67" s="25" t="n"/>
      <c r="D67" s="25" t="n"/>
      <c r="E67" s="25" t="n"/>
      <c r="F67" s="25" t="n"/>
      <c r="G67" s="25" t="n"/>
      <c r="H67" s="25" t="n"/>
      <c r="I67" s="25" t="n"/>
      <c r="J67" s="25" t="n"/>
    </row>
    <row r="68" ht="15" customHeight="1" s="17">
      <c r="A68" s="25">
        <f>ROW()-1</f>
        <v/>
      </c>
      <c r="B68" s="25" t="n"/>
      <c r="C68" s="25" t="n"/>
      <c r="D68" s="25" t="n"/>
      <c r="E68" s="25" t="n"/>
      <c r="F68" s="25" t="n"/>
      <c r="G68" s="25" t="n"/>
      <c r="H68" s="25" t="n"/>
      <c r="I68" s="25" t="n"/>
      <c r="J68" s="25" t="n"/>
    </row>
    <row r="69" ht="15" customHeight="1" s="17">
      <c r="A69" s="25">
        <f>ROW()-1</f>
        <v/>
      </c>
      <c r="B69" s="25" t="n"/>
      <c r="C69" s="25" t="n"/>
      <c r="D69" s="25" t="n"/>
      <c r="E69" s="25" t="n"/>
      <c r="F69" s="25" t="n"/>
      <c r="G69" s="25" t="n"/>
      <c r="H69" s="25" t="n"/>
      <c r="I69" s="25" t="n"/>
      <c r="J69" s="25" t="n"/>
    </row>
    <row r="70" ht="15" customHeight="1" s="17">
      <c r="A70" s="25">
        <f>ROW()-1</f>
        <v/>
      </c>
      <c r="B70" s="25" t="n"/>
      <c r="C70" s="25" t="n"/>
      <c r="D70" s="25" t="n"/>
      <c r="E70" s="25" t="n"/>
      <c r="F70" s="25" t="n"/>
      <c r="G70" s="25" t="n"/>
      <c r="H70" s="25" t="n"/>
      <c r="I70" s="25" t="n"/>
      <c r="J70" s="25" t="n"/>
    </row>
    <row r="71" ht="15" customHeight="1" s="17">
      <c r="A71" s="25">
        <f>ROW()-1</f>
        <v/>
      </c>
      <c r="B71" s="25" t="n"/>
      <c r="C71" s="25" t="n"/>
      <c r="D71" s="25" t="n"/>
      <c r="E71" s="25" t="n"/>
      <c r="F71" s="25" t="n"/>
      <c r="G71" s="25" t="n"/>
      <c r="H71" s="25" t="n"/>
      <c r="I71" s="25" t="n"/>
      <c r="J71" s="25" t="n"/>
    </row>
    <row r="72" ht="15" customHeight="1" s="17">
      <c r="A72" s="25">
        <f>ROW()-1</f>
        <v/>
      </c>
      <c r="B72" s="25" t="n"/>
      <c r="C72" s="25" t="n"/>
      <c r="D72" s="25" t="n"/>
      <c r="E72" s="25" t="n"/>
      <c r="F72" s="25" t="n"/>
      <c r="G72" s="25" t="n"/>
      <c r="H72" s="25" t="n"/>
      <c r="I72" s="25" t="n"/>
      <c r="J72" s="25" t="n"/>
    </row>
    <row r="73" ht="15" customHeight="1" s="17">
      <c r="A73" s="25">
        <f>ROW()-1</f>
        <v/>
      </c>
      <c r="B73" s="25" t="n"/>
      <c r="C73" s="25" t="n"/>
      <c r="D73" s="25" t="n"/>
      <c r="E73" s="25" t="n"/>
      <c r="F73" s="25" t="n"/>
      <c r="G73" s="25" t="n"/>
      <c r="H73" s="25" t="n"/>
      <c r="I73" s="25" t="n"/>
      <c r="J73" s="25" t="n"/>
    </row>
    <row r="74" ht="15" customHeight="1" s="17">
      <c r="A74" s="25">
        <f>ROW()-1</f>
        <v/>
      </c>
      <c r="B74" s="25" t="n"/>
      <c r="C74" s="25" t="n"/>
      <c r="D74" s="25" t="n"/>
      <c r="E74" s="25" t="n"/>
      <c r="F74" s="25" t="n"/>
      <c r="G74" s="25" t="n"/>
      <c r="H74" s="25" t="n"/>
      <c r="I74" s="25" t="n"/>
      <c r="J74" s="25" t="n"/>
    </row>
    <row r="75" ht="15" customHeight="1" s="17">
      <c r="A75" s="25">
        <f>ROW()-1</f>
        <v/>
      </c>
      <c r="B75" s="25" t="n"/>
      <c r="C75" s="25" t="n"/>
      <c r="D75" s="25" t="n"/>
      <c r="E75" s="25" t="n"/>
      <c r="F75" s="25" t="n"/>
      <c r="G75" s="25" t="n"/>
      <c r="H75" s="25" t="n"/>
      <c r="I75" s="25" t="n"/>
      <c r="J75" s="25" t="n"/>
    </row>
    <row r="76" ht="15" customHeight="1" s="17">
      <c r="A76" s="25">
        <f>ROW()-1</f>
        <v/>
      </c>
      <c r="B76" s="25" t="n"/>
      <c r="C76" s="25" t="n"/>
      <c r="D76" s="25" t="n"/>
      <c r="E76" s="25" t="n"/>
      <c r="F76" s="25" t="n"/>
      <c r="G76" s="25" t="n"/>
      <c r="H76" s="25" t="n"/>
      <c r="I76" s="25" t="n"/>
      <c r="J76" s="25" t="n"/>
    </row>
    <row r="77" ht="15" customHeight="1" s="17">
      <c r="A77" s="25">
        <f>ROW()-1</f>
        <v/>
      </c>
      <c r="B77" s="25" t="n"/>
      <c r="C77" s="25" t="n"/>
      <c r="D77" s="25" t="n"/>
      <c r="E77" s="25" t="n"/>
      <c r="F77" s="25" t="n"/>
      <c r="G77" s="25" t="n"/>
      <c r="H77" s="25" t="n"/>
      <c r="I77" s="25" t="n"/>
      <c r="J77" s="25" t="n"/>
    </row>
    <row r="78" ht="15" customHeight="1" s="17">
      <c r="A78" s="25">
        <f>ROW()-1</f>
        <v/>
      </c>
      <c r="B78" s="25" t="n"/>
      <c r="C78" s="25" t="n"/>
      <c r="D78" s="25" t="n"/>
      <c r="E78" s="25" t="n"/>
      <c r="F78" s="25" t="n"/>
      <c r="G78" s="25" t="n"/>
      <c r="H78" s="25" t="n"/>
      <c r="I78" s="25" t="n"/>
      <c r="J78" s="25" t="n"/>
    </row>
    <row r="79" ht="15" customHeight="1" s="17">
      <c r="A79" s="25">
        <f>ROW()-1</f>
        <v/>
      </c>
      <c r="B79" s="25" t="n"/>
      <c r="C79" s="25" t="n"/>
      <c r="D79" s="25" t="n"/>
      <c r="E79" s="25" t="n"/>
      <c r="F79" s="25" t="n"/>
      <c r="G79" s="25" t="n"/>
      <c r="H79" s="25" t="n"/>
      <c r="I79" s="25" t="n"/>
      <c r="J79" s="25" t="n"/>
    </row>
    <row r="80" ht="15" customHeight="1" s="17">
      <c r="A80" s="25">
        <f>ROW()-1</f>
        <v/>
      </c>
      <c r="B80" s="25" t="n"/>
      <c r="C80" s="25" t="n"/>
      <c r="D80" s="25" t="n"/>
      <c r="E80" s="25" t="n"/>
      <c r="F80" s="25" t="n"/>
      <c r="G80" s="25" t="n"/>
      <c r="H80" s="25" t="n"/>
      <c r="I80" s="25" t="n"/>
      <c r="J80" s="25" t="n"/>
    </row>
    <row r="81" ht="15" customHeight="1" s="17">
      <c r="A81" s="25">
        <f>ROW()-1</f>
        <v/>
      </c>
      <c r="B81" s="25" t="n"/>
      <c r="C81" s="25" t="n"/>
      <c r="D81" s="25" t="n"/>
      <c r="E81" s="25" t="n"/>
      <c r="F81" s="25" t="n"/>
      <c r="G81" s="25" t="n"/>
      <c r="H81" s="25" t="n"/>
      <c r="I81" s="25" t="n"/>
      <c r="J81" s="25" t="n"/>
    </row>
    <row r="82" ht="15" customHeight="1" s="17">
      <c r="A82" s="25">
        <f>ROW()-1</f>
        <v/>
      </c>
      <c r="B82" s="25" t="n"/>
      <c r="C82" s="25" t="n"/>
      <c r="D82" s="25" t="n"/>
      <c r="E82" s="25" t="n"/>
      <c r="F82" s="25" t="n"/>
      <c r="G82" s="25" t="n"/>
      <c r="H82" s="25" t="n"/>
      <c r="I82" s="25" t="n"/>
      <c r="J82" s="25" t="n"/>
    </row>
    <row r="83" ht="15" customHeight="1" s="17">
      <c r="A83" s="25">
        <f>ROW()-1</f>
        <v/>
      </c>
      <c r="B83" s="25" t="n"/>
      <c r="C83" s="25" t="n"/>
      <c r="D83" s="25" t="n"/>
      <c r="E83" s="25" t="n"/>
      <c r="F83" s="25" t="n"/>
      <c r="G83" s="25" t="n"/>
      <c r="H83" s="25" t="n"/>
      <c r="I83" s="25" t="n"/>
      <c r="J83" s="25" t="n"/>
    </row>
    <row r="84" ht="15" customHeight="1" s="17">
      <c r="A84" s="25">
        <f>ROW()-1</f>
        <v/>
      </c>
      <c r="B84" s="25" t="n"/>
      <c r="C84" s="25" t="n"/>
      <c r="D84" s="25" t="n"/>
      <c r="E84" s="25" t="n"/>
      <c r="F84" s="25" t="n"/>
      <c r="G84" s="25" t="n"/>
      <c r="H84" s="25" t="n"/>
      <c r="I84" s="25" t="n"/>
      <c r="J84" s="25" t="n"/>
    </row>
    <row r="85" ht="15" customHeight="1" s="17">
      <c r="A85" s="25">
        <f>ROW()-1</f>
        <v/>
      </c>
      <c r="B85" s="25" t="n"/>
      <c r="C85" s="25" t="n"/>
      <c r="D85" s="25" t="n"/>
      <c r="E85" s="25" t="n"/>
      <c r="F85" s="25" t="n"/>
      <c r="G85" s="25" t="n"/>
      <c r="H85" s="25" t="n"/>
      <c r="I85" s="25" t="n"/>
      <c r="J85" s="25" t="n"/>
    </row>
    <row r="86" ht="15" customHeight="1" s="17">
      <c r="A86" s="25">
        <f>ROW()-1</f>
        <v/>
      </c>
      <c r="B86" s="25" t="n"/>
      <c r="C86" s="25" t="n"/>
      <c r="D86" s="25" t="n"/>
      <c r="E86" s="25" t="n"/>
      <c r="F86" s="25" t="n"/>
      <c r="G86" s="25" t="n"/>
      <c r="H86" s="25" t="n"/>
      <c r="I86" s="25" t="n"/>
      <c r="J86" s="25" t="n"/>
    </row>
    <row r="87" ht="15" customHeight="1" s="17">
      <c r="A87" s="25">
        <f>ROW()-1</f>
        <v/>
      </c>
      <c r="B87" s="25" t="n"/>
      <c r="C87" s="25" t="n"/>
      <c r="D87" s="25" t="n"/>
      <c r="E87" s="25" t="n"/>
      <c r="F87" s="25" t="n"/>
      <c r="G87" s="25" t="n"/>
      <c r="H87" s="25" t="n"/>
      <c r="I87" s="25" t="n"/>
      <c r="J87" s="25" t="n"/>
    </row>
    <row r="88" ht="15" customHeight="1" s="17">
      <c r="A88" s="25">
        <f>ROW()-1</f>
        <v/>
      </c>
      <c r="B88" s="25" t="n"/>
      <c r="C88" s="25" t="n"/>
      <c r="D88" s="25" t="n"/>
      <c r="E88" s="25" t="n"/>
      <c r="F88" s="25" t="n"/>
      <c r="G88" s="25" t="n"/>
      <c r="H88" s="25" t="n"/>
      <c r="I88" s="25" t="n"/>
      <c r="J88" s="25" t="n"/>
    </row>
    <row r="89" ht="15" customHeight="1" s="17">
      <c r="A89" s="25">
        <f>ROW()-1</f>
        <v/>
      </c>
      <c r="B89" s="25" t="n"/>
      <c r="C89" s="25" t="n"/>
      <c r="D89" s="25" t="n"/>
      <c r="E89" s="25" t="n"/>
      <c r="F89" s="25" t="n"/>
      <c r="G89" s="25" t="n"/>
      <c r="H89" s="25" t="n"/>
      <c r="I89" s="25" t="n"/>
      <c r="J89" s="25" t="n"/>
    </row>
    <row r="90" ht="15" customHeight="1" s="17">
      <c r="A90" s="25">
        <f>ROW()-1</f>
        <v/>
      </c>
      <c r="B90" s="25" t="n"/>
      <c r="C90" s="25" t="n"/>
      <c r="D90" s="25" t="n"/>
      <c r="E90" s="25" t="n"/>
      <c r="F90" s="25" t="n"/>
      <c r="G90" s="25" t="n"/>
      <c r="H90" s="25" t="n"/>
      <c r="I90" s="25" t="n"/>
      <c r="J90" s="25" t="n"/>
    </row>
    <row r="91" ht="15" customHeight="1" s="17">
      <c r="A91" s="25">
        <f>ROW()-1</f>
        <v/>
      </c>
      <c r="B91" s="25" t="n"/>
      <c r="C91" s="25" t="n"/>
      <c r="D91" s="25" t="n"/>
      <c r="E91" s="25" t="n"/>
      <c r="F91" s="25" t="n"/>
      <c r="G91" s="25" t="n"/>
      <c r="H91" s="25" t="n"/>
      <c r="I91" s="25" t="n"/>
      <c r="J91" s="25" t="n"/>
    </row>
    <row r="92" ht="15" customHeight="1" s="17">
      <c r="A92" s="25">
        <f>ROW()-1</f>
        <v/>
      </c>
      <c r="B92" s="25" t="n"/>
      <c r="C92" s="25" t="n"/>
      <c r="D92" s="25" t="n"/>
      <c r="E92" s="25" t="n"/>
      <c r="F92" s="25" t="n"/>
      <c r="G92" s="25" t="n"/>
      <c r="H92" s="25" t="n"/>
      <c r="I92" s="25" t="n"/>
      <c r="J92" s="25" t="n"/>
    </row>
    <row r="93" ht="15" customHeight="1" s="17">
      <c r="A93" s="25">
        <f>ROW()-1</f>
        <v/>
      </c>
      <c r="B93" s="25" t="n"/>
      <c r="C93" s="25" t="n"/>
      <c r="D93" s="25" t="n"/>
      <c r="E93" s="25" t="n"/>
      <c r="F93" s="25" t="n"/>
      <c r="G93" s="25" t="n"/>
      <c r="H93" s="25" t="n"/>
      <c r="I93" s="25" t="n"/>
      <c r="J93" s="25" t="n"/>
    </row>
    <row r="94" ht="15" customHeight="1" s="17">
      <c r="A94" s="25">
        <f>ROW()-1</f>
        <v/>
      </c>
      <c r="B94" s="25" t="n"/>
      <c r="C94" s="25" t="n"/>
      <c r="D94" s="25" t="n"/>
      <c r="E94" s="25" t="n"/>
      <c r="F94" s="25" t="n"/>
      <c r="G94" s="25" t="n"/>
      <c r="H94" s="25" t="n"/>
      <c r="I94" s="25" t="n"/>
      <c r="J94" s="25" t="n"/>
    </row>
    <row r="95" ht="15" customHeight="1" s="17">
      <c r="A95" s="25">
        <f>ROW()-1</f>
        <v/>
      </c>
      <c r="B95" s="25" t="n"/>
      <c r="C95" s="25" t="n"/>
      <c r="D95" s="25" t="n"/>
      <c r="E95" s="25" t="n"/>
      <c r="F95" s="25" t="n"/>
      <c r="G95" s="25" t="n"/>
      <c r="H95" s="25" t="n"/>
      <c r="I95" s="25" t="n"/>
      <c r="J95" s="25" t="n"/>
    </row>
    <row r="96" ht="15" customHeight="1" s="17">
      <c r="A96" s="25">
        <f>ROW()-1</f>
        <v/>
      </c>
      <c r="B96" s="25" t="n"/>
      <c r="C96" s="25" t="n"/>
      <c r="D96" s="25" t="n"/>
      <c r="E96" s="25" t="n"/>
      <c r="F96" s="25" t="n"/>
      <c r="G96" s="25" t="n"/>
      <c r="H96" s="25" t="n"/>
      <c r="I96" s="25" t="n"/>
      <c r="J96" s="25" t="n"/>
    </row>
    <row r="97" ht="15" customHeight="1" s="17">
      <c r="A97" s="25">
        <f>ROW()-1</f>
        <v/>
      </c>
      <c r="B97" s="25" t="n"/>
      <c r="C97" s="25" t="n"/>
      <c r="D97" s="25" t="n"/>
      <c r="E97" s="25" t="n"/>
      <c r="F97" s="25" t="n"/>
      <c r="G97" s="25" t="n"/>
      <c r="H97" s="25" t="n"/>
      <c r="I97" s="25" t="n"/>
      <c r="J97" s="25" t="n"/>
    </row>
    <row r="98" ht="15" customHeight="1" s="17">
      <c r="A98" s="25">
        <f>ROW()-1</f>
        <v/>
      </c>
      <c r="B98" s="25" t="n"/>
      <c r="C98" s="25" t="n"/>
      <c r="D98" s="25" t="n"/>
      <c r="E98" s="25" t="n"/>
      <c r="F98" s="25" t="n"/>
      <c r="G98" s="25" t="n"/>
      <c r="H98" s="25" t="n"/>
      <c r="I98" s="25" t="n"/>
      <c r="J98" s="25" t="n"/>
    </row>
    <row r="99" ht="15" customHeight="1" s="17">
      <c r="A99" s="25">
        <f>ROW()-1</f>
        <v/>
      </c>
      <c r="B99" s="25" t="n"/>
      <c r="C99" s="25" t="n"/>
      <c r="D99" s="25" t="n"/>
      <c r="E99" s="25" t="n"/>
      <c r="F99" s="25" t="n"/>
      <c r="G99" s="25" t="n"/>
      <c r="H99" s="25" t="n"/>
      <c r="I99" s="25" t="n"/>
      <c r="J99" s="25" t="n"/>
    </row>
    <row r="100" ht="15" customHeight="1" s="17">
      <c r="A100" s="25">
        <f>ROW()-1</f>
        <v/>
      </c>
      <c r="B100" s="25" t="n"/>
      <c r="C100" s="25" t="n"/>
      <c r="D100" s="25" t="n"/>
      <c r="E100" s="25" t="n"/>
      <c r="F100" s="25" t="n"/>
      <c r="G100" s="25" t="n"/>
      <c r="H100" s="25" t="n"/>
      <c r="I100" s="25" t="n"/>
      <c r="J100" s="25" t="n"/>
    </row>
    <row r="101" ht="15" customHeight="1" s="17">
      <c r="A101" s="25">
        <f>ROW()-1</f>
        <v/>
      </c>
      <c r="B101" s="25" t="n"/>
      <c r="C101" s="25" t="n"/>
      <c r="D101" s="25" t="n"/>
      <c r="E101" s="25" t="n"/>
      <c r="F101" s="25" t="n"/>
      <c r="G101" s="25" t="n"/>
      <c r="H101" s="25" t="n"/>
      <c r="I101" s="25" t="n"/>
      <c r="J101" s="25" t="n"/>
    </row>
    <row r="102" ht="15" customHeight="1" s="17">
      <c r="A102" s="25">
        <f>ROW()-1</f>
        <v/>
      </c>
      <c r="B102" s="25" t="n"/>
      <c r="C102" s="25" t="n"/>
      <c r="D102" s="25" t="n"/>
      <c r="E102" s="25" t="n"/>
      <c r="F102" s="25" t="n"/>
      <c r="G102" s="25" t="n"/>
      <c r="H102" s="25" t="n"/>
      <c r="I102" s="25" t="n"/>
      <c r="J102" s="25" t="n"/>
    </row>
    <row r="103" ht="15" customHeight="1" s="17">
      <c r="A103" s="25">
        <f>ROW()-1</f>
        <v/>
      </c>
      <c r="B103" s="25" t="n"/>
      <c r="C103" s="25" t="n"/>
      <c r="D103" s="25" t="n"/>
      <c r="E103" s="25" t="n"/>
      <c r="F103" s="25" t="n"/>
      <c r="G103" s="25" t="n"/>
      <c r="H103" s="25" t="n"/>
      <c r="I103" s="25" t="n"/>
      <c r="J103" s="25" t="n"/>
    </row>
    <row r="104" ht="15" customHeight="1" s="17">
      <c r="A104" s="25">
        <f>ROW()-1</f>
        <v/>
      </c>
      <c r="B104" s="25" t="n"/>
      <c r="C104" s="25" t="n"/>
      <c r="D104" s="25" t="n"/>
      <c r="E104" s="25" t="n"/>
      <c r="F104" s="25" t="n"/>
      <c r="G104" s="25" t="n"/>
      <c r="H104" s="25" t="n"/>
      <c r="I104" s="25" t="n"/>
      <c r="J104" s="25" t="n"/>
    </row>
    <row r="105" ht="15" customHeight="1" s="17">
      <c r="A105" s="25">
        <f>ROW()-1</f>
        <v/>
      </c>
      <c r="B105" s="25" t="n"/>
      <c r="C105" s="25" t="n"/>
      <c r="D105" s="25" t="n"/>
      <c r="E105" s="25" t="n"/>
      <c r="F105" s="25" t="n"/>
      <c r="G105" s="25" t="n"/>
      <c r="H105" s="25" t="n"/>
      <c r="I105" s="25" t="n"/>
      <c r="J105" s="25" t="n"/>
    </row>
    <row r="106" ht="15" customHeight="1" s="17">
      <c r="A106" s="25">
        <f>ROW()-1</f>
        <v/>
      </c>
      <c r="B106" s="25" t="n"/>
      <c r="C106" s="25" t="n"/>
      <c r="D106" s="25" t="n"/>
      <c r="E106" s="25" t="n"/>
      <c r="F106" s="25" t="n"/>
      <c r="G106" s="25" t="n"/>
      <c r="H106" s="25" t="n"/>
      <c r="I106" s="25" t="n"/>
      <c r="J106" s="25" t="n"/>
    </row>
    <row r="107" ht="15" customHeight="1" s="17">
      <c r="A107" s="25">
        <f>ROW()-1</f>
        <v/>
      </c>
      <c r="B107" s="25" t="n"/>
      <c r="C107" s="25" t="n"/>
      <c r="D107" s="25" t="n"/>
      <c r="E107" s="25" t="n"/>
      <c r="F107" s="25" t="n"/>
      <c r="G107" s="25" t="n"/>
      <c r="H107" s="25" t="n"/>
      <c r="I107" s="25" t="n"/>
      <c r="J107" s="25" t="n"/>
    </row>
    <row r="108" ht="15" customHeight="1" s="17">
      <c r="A108" s="25">
        <f>ROW()-1</f>
        <v/>
      </c>
      <c r="B108" s="25" t="n"/>
      <c r="C108" s="25" t="n"/>
      <c r="D108" s="25" t="n"/>
      <c r="E108" s="25" t="n"/>
      <c r="F108" s="25" t="n"/>
      <c r="G108" s="25" t="n"/>
      <c r="H108" s="25" t="n"/>
      <c r="I108" s="25" t="n"/>
      <c r="J108" s="25" t="n"/>
    </row>
    <row r="109" ht="15" customHeight="1" s="17">
      <c r="A109" s="25">
        <f>ROW()-1</f>
        <v/>
      </c>
      <c r="B109" s="25" t="n"/>
      <c r="C109" s="25" t="n"/>
      <c r="D109" s="25" t="n"/>
      <c r="E109" s="25" t="n"/>
      <c r="F109" s="25" t="n"/>
      <c r="G109" s="25" t="n"/>
      <c r="H109" s="25" t="n"/>
      <c r="I109" s="25" t="n"/>
      <c r="J109" s="25" t="n"/>
    </row>
    <row r="110" ht="15" customHeight="1" s="17">
      <c r="A110" s="25">
        <f>ROW()-1</f>
        <v/>
      </c>
      <c r="B110" s="25" t="n"/>
      <c r="C110" s="25" t="n"/>
      <c r="D110" s="25" t="n"/>
      <c r="E110" s="25" t="n"/>
      <c r="F110" s="25" t="n"/>
      <c r="G110" s="25" t="n"/>
      <c r="H110" s="25" t="n"/>
      <c r="I110" s="25" t="n"/>
      <c r="J110" s="25" t="n"/>
    </row>
    <row r="111" ht="15" customHeight="1" s="17">
      <c r="A111" s="25">
        <f>ROW()-1</f>
        <v/>
      </c>
      <c r="B111" s="25" t="n"/>
      <c r="C111" s="25" t="n"/>
      <c r="D111" s="25" t="n"/>
      <c r="E111" s="25" t="n"/>
      <c r="F111" s="25" t="n"/>
      <c r="G111" s="25" t="n"/>
      <c r="H111" s="25" t="n"/>
      <c r="I111" s="25" t="n"/>
      <c r="J111" s="25" t="n"/>
    </row>
    <row r="112" ht="15" customHeight="1" s="17">
      <c r="A112" s="25">
        <f>ROW()-1</f>
        <v/>
      </c>
      <c r="B112" s="25" t="n"/>
      <c r="C112" s="25" t="n"/>
      <c r="D112" s="25" t="n"/>
      <c r="E112" s="25" t="n"/>
      <c r="F112" s="25" t="n"/>
      <c r="G112" s="25" t="n"/>
      <c r="H112" s="25" t="n"/>
      <c r="I112" s="25" t="n"/>
      <c r="J112" s="25" t="n"/>
    </row>
    <row r="113" ht="15" customHeight="1" s="17">
      <c r="A113" s="25">
        <f>ROW()-1</f>
        <v/>
      </c>
      <c r="B113" s="25" t="n"/>
      <c r="C113" s="25" t="n"/>
      <c r="D113" s="25" t="n"/>
      <c r="E113" s="25" t="n"/>
      <c r="F113" s="25" t="n"/>
      <c r="G113" s="25" t="n"/>
      <c r="H113" s="25" t="n"/>
      <c r="I113" s="25" t="n"/>
      <c r="J113" s="25" t="n"/>
    </row>
    <row r="114" ht="15" customHeight="1" s="17">
      <c r="A114" s="25">
        <f>ROW()-1</f>
        <v/>
      </c>
      <c r="B114" s="25" t="n"/>
      <c r="C114" s="25" t="n"/>
      <c r="D114" s="25" t="n"/>
      <c r="E114" s="25" t="n"/>
      <c r="F114" s="25" t="n"/>
      <c r="G114" s="25" t="n"/>
      <c r="H114" s="25" t="n"/>
      <c r="I114" s="25" t="n"/>
      <c r="J114" s="25" t="n"/>
    </row>
    <row r="115" ht="15" customHeight="1" s="17">
      <c r="A115" s="25">
        <f>ROW()-1</f>
        <v/>
      </c>
      <c r="B115" s="25" t="n"/>
      <c r="C115" s="25" t="n"/>
      <c r="D115" s="25" t="n"/>
      <c r="E115" s="25" t="n"/>
      <c r="F115" s="25" t="n"/>
      <c r="G115" s="25" t="n"/>
      <c r="H115" s="25" t="n"/>
      <c r="I115" s="25" t="n"/>
      <c r="J115" s="25" t="n"/>
    </row>
    <row r="116" ht="15" customHeight="1" s="17">
      <c r="A116" s="25">
        <f>ROW()-1</f>
        <v/>
      </c>
      <c r="B116" s="25" t="n"/>
      <c r="C116" s="25" t="n"/>
      <c r="D116" s="25" t="n"/>
      <c r="E116" s="25" t="n"/>
      <c r="F116" s="25" t="n"/>
      <c r="G116" s="25" t="n"/>
      <c r="H116" s="25" t="n"/>
      <c r="I116" s="25" t="n"/>
      <c r="J116" s="25" t="n"/>
    </row>
    <row r="117" ht="15" customHeight="1" s="17">
      <c r="A117" s="25">
        <f>ROW()-1</f>
        <v/>
      </c>
      <c r="B117" s="25" t="n"/>
      <c r="C117" s="25" t="n"/>
      <c r="D117" s="25" t="n"/>
      <c r="E117" s="25" t="n"/>
      <c r="F117" s="25" t="n"/>
      <c r="G117" s="25" t="n"/>
      <c r="H117" s="25" t="n"/>
      <c r="I117" s="25" t="n"/>
      <c r="J117" s="25" t="n"/>
    </row>
    <row r="118" ht="15" customHeight="1" s="17">
      <c r="A118" s="25">
        <f>ROW()-1</f>
        <v/>
      </c>
      <c r="B118" s="25" t="n"/>
      <c r="C118" s="25" t="n"/>
      <c r="D118" s="25" t="n"/>
      <c r="E118" s="25" t="n"/>
      <c r="F118" s="25" t="n"/>
      <c r="G118" s="25" t="n"/>
      <c r="H118" s="25" t="n"/>
      <c r="I118" s="25" t="n"/>
      <c r="J118" s="25" t="n"/>
    </row>
    <row r="119" ht="15" customHeight="1" s="17">
      <c r="A119" s="25">
        <f>ROW()-1</f>
        <v/>
      </c>
      <c r="B119" s="25" t="n"/>
      <c r="C119" s="25" t="n"/>
      <c r="D119" s="25" t="n"/>
      <c r="E119" s="25" t="n"/>
      <c r="F119" s="25" t="n"/>
      <c r="G119" s="25" t="n"/>
      <c r="H119" s="25" t="n"/>
      <c r="I119" s="25" t="n"/>
      <c r="J119" s="25" t="n"/>
    </row>
    <row r="120" ht="15" customHeight="1" s="17">
      <c r="A120" s="25">
        <f>ROW()-1</f>
        <v/>
      </c>
      <c r="B120" s="25" t="n"/>
      <c r="C120" s="25" t="n"/>
      <c r="D120" s="25" t="n"/>
      <c r="E120" s="25" t="n"/>
      <c r="F120" s="25" t="n"/>
      <c r="G120" s="25" t="n"/>
      <c r="H120" s="25" t="n"/>
      <c r="I120" s="25" t="n"/>
      <c r="J120" s="25" t="n"/>
    </row>
    <row r="121" ht="15" customHeight="1" s="17">
      <c r="A121" s="25">
        <f>ROW()-1</f>
        <v/>
      </c>
      <c r="B121" s="25" t="n"/>
      <c r="C121" s="25" t="n"/>
      <c r="D121" s="25" t="n"/>
      <c r="E121" s="25" t="n"/>
      <c r="F121" s="25" t="n"/>
      <c r="G121" s="25" t="n"/>
      <c r="H121" s="25" t="n"/>
      <c r="I121" s="25" t="n"/>
      <c r="J121" s="25" t="n"/>
    </row>
    <row r="122" ht="15" customHeight="1" s="17">
      <c r="A122" s="25">
        <f>ROW()-1</f>
        <v/>
      </c>
      <c r="B122" s="25" t="n"/>
      <c r="C122" s="25" t="n"/>
      <c r="D122" s="25" t="n"/>
      <c r="E122" s="25" t="n"/>
      <c r="F122" s="25" t="n"/>
      <c r="G122" s="25" t="n"/>
      <c r="H122" s="25" t="n"/>
      <c r="I122" s="25" t="n"/>
      <c r="J122" s="25" t="n"/>
    </row>
  </sheetData>
  <dataValidations count="4">
    <dataValidation sqref="G2:G122" showDropDown="0" showInputMessage="0" showErrorMessage="0" allowBlank="1" errorTitle="Invalid category" error="Choose one of the seven project categories." type="list" errorStyle="stop" operator="between">
      <formula1>"AI-related threats,Privacy risks,Security risks,Human/organizational risks,Governance risks,Compliance risks,Security controls"</formula1>
      <formula2>0</formula2>
    </dataValidation>
    <dataValidation sqref="F2:F122" showDropDown="0" showInputMessage="0" showErrorMessage="0" allowBlank="1" type="list" errorStyle="stop" operator="between">
      <formula1>"Journal article,Conference paper,Standards/technical report,Government publication,Preprint,Other"</formula1>
      <formula2>0</formula2>
    </dataValidation>
    <dataValidation sqref="E2:E122" showDropDown="0" showInputMessage="0" showErrorMessage="0" allowBlank="1" type="list" errorStyle="stop" operator="between">
      <formula1>"IEEE Xplore,ACM Digital Library,Scopus,Web of Science,Google Scholar,NIST,ENISA,EUR-Lex / EU Official Journal"</formula1>
      <formula2>0</formula2>
    </dataValidation>
    <dataValidation sqref="H2:H122" showDropDown="0" showInputMessage="0" showErrorMessage="0" allowBlank="1" errorTitle="Invalid decision" error="Choose Include or Exclude." type="list" errorStyle="stop" operator="between">
      <formula1>"Include,Exclude"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2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16" min="1" max="1"/>
    <col width="14" customWidth="1" style="16" min="2" max="2"/>
    <col width="50" customWidth="1" style="16" min="3" max="3"/>
  </cols>
  <sheetData>
    <row r="1" ht="17.35" customHeight="1" s="17">
      <c r="A1" s="18" t="inlineStr">
        <is>
          <t>Progress Summary</t>
        </is>
      </c>
    </row>
    <row r="2" ht="27.75" customHeight="1" s="17">
      <c r="A2" s="26" t="inlineStr">
        <is>
          <t>All figures below recalculate automatically from the Screening Tracker tab. Nothing here is hand-entered.</t>
        </is>
      </c>
    </row>
    <row r="4" ht="15" customHeight="1" s="17">
      <c r="A4" s="27" t="inlineStr">
        <is>
          <t>Metric</t>
        </is>
      </c>
      <c r="B4" s="27" t="inlineStr">
        <is>
          <t>Value</t>
        </is>
      </c>
    </row>
    <row r="5" ht="15" customHeight="1" s="17">
      <c r="A5" s="28" t="inlineStr">
        <is>
          <t>Total sources logged</t>
        </is>
      </c>
      <c r="B5" s="29">
        <f>COUNTA('Screening Tracker'!B2:B122)</f>
        <v/>
      </c>
    </row>
    <row r="6" ht="15" customHeight="1" s="17">
      <c r="A6" s="28" t="inlineStr">
        <is>
          <t>Total included</t>
        </is>
      </c>
      <c r="B6" s="29">
        <f>COUNTIF('Screening Tracker'!H2:H122,"Include")</f>
        <v/>
      </c>
    </row>
    <row r="7" ht="15" customHeight="1" s="17">
      <c r="A7" s="28" t="inlineStr">
        <is>
          <t>Total excluded</t>
        </is>
      </c>
      <c r="B7" s="29">
        <f>COUNTIF('Screening Tracker'!H2:H122,"Exclude")</f>
        <v/>
      </c>
    </row>
    <row r="8" ht="15" customHeight="1" s="17">
      <c r="A8" s="28" t="inlineStr">
        <is>
          <t>Undecided / blank Decision</t>
        </is>
      </c>
      <c r="B8" s="29">
        <f>COUNTA('Screening Tracker'!B2:B122)-COUNTIF('Screening Tracker'!H2:H122,"Include")-COUNTIF('Screening Tracker'!H2:H122,"Exclude")</f>
        <v/>
      </c>
    </row>
    <row r="9" ht="15" customHeight="1" s="17">
      <c r="A9" s="28" t="inlineStr">
        <is>
          <t>Target range (Section 4.2)</t>
        </is>
      </c>
      <c r="B9" s="29" t="inlineStr">
        <is>
          <t>40 to 80</t>
        </is>
      </c>
    </row>
    <row r="10" ht="15" customHeight="1" s="17">
      <c r="A10" s="28" t="inlineStr">
        <is>
          <t>Still needed to reach 40 (min)</t>
        </is>
      </c>
      <c r="B10" s="29">
        <f>MAX(0,40-COUNTA('Screening Tracker'!B2:B122))</f>
        <v/>
      </c>
    </row>
    <row r="11" ht="15" customHeight="1" s="17">
      <c r="A11" s="28" t="inlineStr">
        <is>
          <t>Headroom to 80 (max)</t>
        </is>
      </c>
      <c r="B11" s="29">
        <f>MAX(0,80-COUNTA('Screening Tracker'!B2:B122))</f>
        <v/>
      </c>
    </row>
    <row r="12" ht="15" customHeight="1" s="17">
      <c r="A12" s="28" t="inlineStr">
        <is>
          <t>Reason column completeness</t>
        </is>
      </c>
      <c r="B12" s="29">
        <f>COUNTA('Screening Tracker'!I2:I122)&amp;" of "&amp;COUNTA('Screening Tracker'!B2:B122)&amp;" logged sources have a reason"</f>
        <v/>
      </c>
    </row>
    <row r="14" ht="15" customHeight="1" s="17">
      <c r="A14" s="30" t="inlineStr">
        <is>
          <t>By Category</t>
        </is>
      </c>
    </row>
    <row r="15" ht="15" customHeight="1" s="17">
      <c r="A15" s="27" t="inlineStr">
        <is>
          <t>Category</t>
        </is>
      </c>
      <c r="B15" s="27" t="inlineStr">
        <is>
          <t>Included</t>
        </is>
      </c>
    </row>
    <row r="16" ht="15" customHeight="1" s="17">
      <c r="A16" s="28" t="inlineStr">
        <is>
          <t>AI-related threats</t>
        </is>
      </c>
      <c r="B16" s="29">
        <f>COUNTIFS('Screening Tracker'!G2:G122,A16,'Screening Tracker'!H2:H122,"Include")</f>
        <v/>
      </c>
    </row>
    <row r="17" ht="15" customHeight="1" s="17">
      <c r="A17" s="28" t="inlineStr">
        <is>
          <t>Privacy risks</t>
        </is>
      </c>
      <c r="B17" s="29">
        <f>COUNTIFS('Screening Tracker'!G2:G122,A17,'Screening Tracker'!H2:H122,"Include")</f>
        <v/>
      </c>
    </row>
    <row r="18" ht="15" customHeight="1" s="17">
      <c r="A18" s="28" t="inlineStr">
        <is>
          <t>Security risks</t>
        </is>
      </c>
      <c r="B18" s="29">
        <f>COUNTIFS('Screening Tracker'!G2:G122,A18,'Screening Tracker'!H2:H122,"Include")</f>
        <v/>
      </c>
    </row>
    <row r="19" ht="15" customHeight="1" s="17">
      <c r="A19" s="28" t="inlineStr">
        <is>
          <t>Human/organizational risks</t>
        </is>
      </c>
      <c r="B19" s="29">
        <f>COUNTIFS('Screening Tracker'!G2:G122,A19,'Screening Tracker'!H2:H122,"Include")</f>
        <v/>
      </c>
    </row>
    <row r="20" ht="15" customHeight="1" s="17">
      <c r="A20" s="28" t="inlineStr">
        <is>
          <t>Governance risks</t>
        </is>
      </c>
      <c r="B20" s="29">
        <f>COUNTIFS('Screening Tracker'!G2:G122,A20,'Screening Tracker'!H2:H122,"Include")</f>
        <v/>
      </c>
    </row>
    <row r="21" ht="15" customHeight="1" s="17">
      <c r="A21" s="28" t="inlineStr">
        <is>
          <t>Compliance risks</t>
        </is>
      </c>
      <c r="B21" s="29">
        <f>COUNTIFS('Screening Tracker'!G2:G122,A21,'Screening Tracker'!H2:H122,"Include")</f>
        <v/>
      </c>
    </row>
    <row r="22" ht="15" customHeight="1" s="17">
      <c r="A22" s="28" t="inlineStr">
        <is>
          <t>Security controls</t>
        </is>
      </c>
      <c r="B22" s="29">
        <f>COUNTIFS('Screening Tracker'!G2:G122,A22,'Screening Tracker'!H2:H122,"Include")</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F25"/>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6" min="1" max="1"/>
    <col width="35" customWidth="1" style="16" min="2" max="2"/>
    <col width="16" customWidth="1" style="16" min="3" max="4"/>
    <col width="12" customWidth="1" style="16" min="5" max="5"/>
    <col width="45" customWidth="1" style="16" min="6" max="6"/>
  </cols>
  <sheetData>
    <row r="1" ht="25.5" customHeight="1" s="17">
      <c r="A1" s="23" t="inlineStr">
        <is>
          <t>Tracker Row #</t>
        </is>
      </c>
      <c r="B1" s="23" t="inlineStr">
        <is>
          <t>Title (short)</t>
        </is>
      </c>
      <c r="C1" s="23" t="inlineStr">
        <is>
          <t>Original Decision</t>
        </is>
      </c>
      <c r="D1" s="23" t="inlineStr">
        <is>
          <t>Re-Check Decision</t>
        </is>
      </c>
      <c r="E1" s="23" t="inlineStr">
        <is>
          <t>Agree? (Y/N)</t>
        </is>
      </c>
      <c r="F1" s="23" t="inlineStr">
        <is>
          <t>Resolution Notes</t>
        </is>
      </c>
    </row>
    <row r="2" ht="15" customHeight="1" s="17">
      <c r="A2" s="25" t="inlineStr">
        <is>
          <t>#1</t>
        </is>
      </c>
      <c r="B2" s="25" t="inlineStr">
        <is>
          <t>Islam et al. 2025 (explainability framework)</t>
        </is>
      </c>
      <c r="C2" s="25" t="inlineStr">
        <is>
          <t>Include</t>
        </is>
      </c>
      <c r="D2" s="25" t="inlineStr">
        <is>
          <t>Include (confirmed)</t>
        </is>
      </c>
      <c r="E2" s="25" t="inlineStr">
        <is>
          <t>Y</t>
        </is>
      </c>
      <c r="F2" s="25" t="inlineStr">
        <is>
          <t>On re-read, the explainability/interpretability framing sits across both the AI RMF Map and Govern functions, not one cleanly. Decision stands as Include; the function-level mapping ambiguity is carried into the governance-mapping pilot as a documented limit rather than resolved by picking one function.</t>
        </is>
      </c>
    </row>
    <row r="3" ht="15" customHeight="1" s="17">
      <c r="A3" s="25" t="inlineStr">
        <is>
          <t>#12</t>
        </is>
      </c>
      <c r="B3" s="25" t="inlineStr">
        <is>
          <t>Agarwal &amp; Nene 2025 (five-layer AI governance)</t>
        </is>
      </c>
      <c r="C3" s="25" t="inlineStr">
        <is>
          <t>Exclude</t>
        </is>
      </c>
      <c r="D3" s="25" t="inlineStr">
        <is>
          <t>Exclude (confirmed, after closer read)</t>
        </is>
      </c>
      <c r="E3" s="25" t="inlineStr">
        <is>
          <t>Y</t>
        </is>
      </c>
      <c r="F3" s="25" t="inlineStr">
        <is>
          <t>First pass flagged this as a possible borderline Include because it discusses incident reporting. Re-reading the summary against the inclusion rule, the paper's governance model is general (fairness, certification) and does not treat cybersecurity risk as its subject, so Exclude holds. Logged here because the first pass was genuinely uncertain, not a clear call.</t>
        </is>
      </c>
    </row>
    <row r="4" ht="15" customHeight="1" s="17">
      <c r="A4" s="25" t="inlineStr">
        <is>
          <t>#13</t>
        </is>
      </c>
      <c r="B4" s="25" t="inlineStr">
        <is>
          <t>Pelekis et al. 2025 (adversarial ML review)</t>
        </is>
      </c>
      <c r="C4" s="25" t="inlineStr">
        <is>
          <t>Include</t>
        </is>
      </c>
      <c r="D4" s="25" t="inlineStr">
        <is>
          <t>Include (confirmed, with extraction limit)</t>
        </is>
      </c>
      <c r="E4" s="25" t="inlineStr">
        <is>
          <t>Y</t>
        </is>
      </c>
      <c r="F4" s="25" t="inlineStr">
        <is>
          <t>[Re-check by Claude, 2026-10-29; not yet confirmed by me] Re-checked against the reason #10 and #24 were excluded. Difference: #10 and #24 are about how algorithms work; #13 is about what can go wrong with AI systems in named sectors and what the EU AI Act requires. Include holds, but only its risk taxonomy and regulatory sections will be extracted. Logged because it sits right on the technical boundary.</t>
        </is>
      </c>
    </row>
    <row r="5" ht="15" customHeight="1" s="17">
      <c r="A5" s="25" t="inlineStr">
        <is>
          <t>#19</t>
        </is>
      </c>
      <c r="B5" s="25" t="inlineStr">
        <is>
          <t>Abraham 2025 (CMR Insights opinion piece)</t>
        </is>
      </c>
      <c r="C5" s="25" t="inlineStr">
        <is>
          <t>Include</t>
        </is>
      </c>
      <c r="D5" s="25" t="inlineStr">
        <is>
          <t>Include (confirmed, flagged)</t>
        </is>
      </c>
      <c r="E5" s="25" t="inlineStr">
        <is>
          <t>Y</t>
        </is>
      </c>
      <c r="F5" s="25" t="inlineStr">
        <is>
          <t>[Re-check by Claude, 2026-10-29; not yet confirmed by me] Re-read the written decision rule: it screens for topic and the three charter boundaries, and says nothing about source type. Under the rule as written, Include is correct. This exposed a gap in the rule itself, so the question of whether non-peer-reviewed practitioner pieces should count is added to the open supervisor question about preprints, rather than changing the rule silently mid-screening.</t>
        </is>
      </c>
    </row>
    <row r="6" ht="15" customHeight="1" s="17">
      <c r="A6" s="25" t="inlineStr">
        <is>
          <t>#40</t>
        </is>
      </c>
      <c r="B6" s="25" t="inlineStr">
        <is>
          <t>Adrian et al. 2026 (IMF note)</t>
        </is>
      </c>
      <c r="C6" s="25" t="inlineStr">
        <is>
          <t>Include</t>
        </is>
      </c>
      <c r="D6" s="25" t="inlineStr">
        <is>
          <t>Include (confirmed, flagged)</t>
        </is>
      </c>
      <c r="E6" s="25" t="inlineStr">
        <is>
          <t>Y</t>
        </is>
      </c>
      <c r="F6" s="25" t="inlineStr">
        <is>
          <t>[Re-check by Claude, 2026-10-29; not yet confirmed by me] Same situation as #19: an institutional policy note, not peer-reviewed research. On topic under the rule as written. Kept, flagged low weight, and added to the source-type question for the supervisor.</t>
        </is>
      </c>
    </row>
    <row r="7" ht="15" customHeight="1" s="17">
      <c r="A7" s="25" t="inlineStr">
        <is>
          <t>#42</t>
        </is>
      </c>
      <c r="B7" s="25" t="inlineStr">
        <is>
          <t>Long 2026 (AI and enterprise risk management)</t>
        </is>
      </c>
      <c r="C7" s="25" t="inlineStr">
        <is>
          <t>Exclude</t>
        </is>
      </c>
      <c r="D7" s="25" t="inlineStr">
        <is>
          <t>Exclude (confirmed)</t>
        </is>
      </c>
      <c r="E7" s="25" t="inlineStr">
        <is>
          <t>Y</t>
        </is>
      </c>
      <c r="F7" s="25" t="inlineStr">
        <is>
          <t>[Re-check by Claude, 2026-10-29; not yet confirmed by me] Re-read the abstract: cybersecurity is one of three case areas (with finance and supply chain). The rule needs the source to be substantively about cybersecurity risk management, so Exclude holds. Logged because a reader could fairly argue the other way.</t>
        </is>
      </c>
    </row>
    <row r="8" ht="15" customHeight="1" s="17">
      <c r="A8" s="25" t="inlineStr">
        <is>
          <t>#52</t>
        </is>
      </c>
      <c r="B8" s="25" t="inlineStr">
        <is>
          <t>Yadati et al. 2026 (multi-layer defences)</t>
        </is>
      </c>
      <c r="C8" s="25" t="inlineStr">
        <is>
          <t>Include</t>
        </is>
      </c>
      <c r="D8" s="25" t="inlineStr">
        <is>
          <t>Include (confirmed, with extraction limit)</t>
        </is>
      </c>
      <c r="E8" s="25" t="inlineStr">
        <is>
          <t>Y</t>
        </is>
      </c>
      <c r="F8" s="25" t="inlineStr">
        <is>
          <t>[Re-check by Claude, 2026-10-29; not yet confirmed by me] Checked against #10, #24, #29 and #58, all excluded as algorithm papers. Difference: this paper reports what defences achieve against attack types and maps results to GDPR/CCPA and NIST AI RMF, rather than how a model is built. Include holds; only the effectiveness results and mappings will be extracted.</t>
        </is>
      </c>
    </row>
    <row r="9" ht="15" customHeight="1" s="17">
      <c r="A9" s="25" t="inlineStr">
        <is>
          <t>#57</t>
        </is>
      </c>
      <c r="B9" s="25" t="inlineStr">
        <is>
          <t>Ayanbode et al. 2024 (human factors in fintech)</t>
        </is>
      </c>
      <c r="C9" s="25" t="inlineStr">
        <is>
          <t>Exclude</t>
        </is>
      </c>
      <c r="D9" s="25" t="inlineStr">
        <is>
          <t>Exclude (confirmed)</t>
        </is>
      </c>
      <c r="E9" s="25" t="inlineStr">
        <is>
          <t>Y</t>
        </is>
      </c>
      <c r="F9" s="25" t="inlineStr">
        <is>
          <t>[Re-check by Claude, 2026-10-29; not yet confirmed by me] Re-read the full abstract: AI is mentioned once, as a possible detection aid that needs human oversight. Not substantive, so Exclude holds. This leaves Human/organizational risks thin, which is reported as a limitation rather than fixed by loosening the rule.</t>
        </is>
      </c>
    </row>
    <row r="10" ht="15" customHeight="1" s="17">
      <c r="A10" s="25" t="n"/>
      <c r="B10" s="25" t="n"/>
      <c r="C10" s="25" t="n"/>
      <c r="D10" s="25" t="n"/>
      <c r="E10" s="25" t="n"/>
      <c r="F10" s="25" t="n"/>
    </row>
    <row r="11" ht="15" customHeight="1" s="17">
      <c r="A11" s="25" t="n"/>
      <c r="B11" s="25" t="n"/>
      <c r="C11" s="25" t="n"/>
      <c r="D11" s="25" t="n"/>
      <c r="E11" s="25" t="n"/>
      <c r="F11" s="25" t="n"/>
    </row>
    <row r="12" ht="15" customHeight="1" s="17">
      <c r="A12" s="25" t="n"/>
      <c r="B12" s="25" t="n"/>
      <c r="C12" s="25" t="n"/>
      <c r="D12" s="25" t="n"/>
      <c r="E12" s="25" t="n"/>
      <c r="F12" s="25" t="n"/>
    </row>
    <row r="13" ht="15" customHeight="1" s="17">
      <c r="A13" s="25" t="n"/>
      <c r="B13" s="25" t="n"/>
      <c r="C13" s="25" t="n"/>
      <c r="D13" s="25" t="n"/>
      <c r="E13" s="25" t="n"/>
      <c r="F13" s="25" t="n"/>
    </row>
    <row r="14" ht="15" customHeight="1" s="17">
      <c r="A14" s="25" t="n"/>
      <c r="B14" s="25" t="n"/>
      <c r="C14" s="25" t="n"/>
      <c r="D14" s="25" t="n"/>
      <c r="E14" s="25" t="n"/>
      <c r="F14" s="25" t="n"/>
    </row>
    <row r="15" ht="15" customHeight="1" s="17">
      <c r="A15" s="25" t="n"/>
      <c r="B15" s="25" t="n"/>
      <c r="C15" s="25" t="n"/>
      <c r="D15" s="25" t="n"/>
      <c r="E15" s="25" t="n"/>
      <c r="F15" s="25" t="n"/>
    </row>
    <row r="16" ht="15" customHeight="1" s="17">
      <c r="A16" s="25" t="n"/>
      <c r="B16" s="25" t="n"/>
      <c r="C16" s="25" t="n"/>
      <c r="D16" s="25" t="n"/>
      <c r="E16" s="25" t="n"/>
      <c r="F16" s="25" t="n"/>
    </row>
    <row r="17" ht="15" customHeight="1" s="17">
      <c r="A17" s="25" t="n"/>
      <c r="B17" s="25" t="n"/>
      <c r="C17" s="25" t="n"/>
      <c r="D17" s="25" t="n"/>
      <c r="E17" s="25" t="n"/>
      <c r="F17" s="25" t="n"/>
    </row>
    <row r="18" ht="15" customHeight="1" s="17">
      <c r="A18" s="25" t="n"/>
      <c r="B18" s="25" t="n"/>
      <c r="C18" s="25" t="n"/>
      <c r="D18" s="25" t="n"/>
      <c r="E18" s="25" t="n"/>
      <c r="F18" s="25" t="n"/>
    </row>
    <row r="19" ht="15" customHeight="1" s="17">
      <c r="A19" s="25" t="n"/>
      <c r="B19" s="25" t="n"/>
      <c r="C19" s="25" t="n"/>
      <c r="D19" s="25" t="n"/>
      <c r="E19" s="25" t="n"/>
      <c r="F19" s="25" t="n"/>
    </row>
    <row r="20" ht="15" customHeight="1" s="17">
      <c r="A20" s="25" t="n"/>
      <c r="B20" s="25" t="n"/>
      <c r="C20" s="25" t="n"/>
      <c r="D20" s="25" t="n"/>
      <c r="E20" s="25" t="n"/>
      <c r="F20" s="25" t="n"/>
    </row>
    <row r="21" ht="15" customHeight="1" s="17">
      <c r="A21" s="25" t="n"/>
      <c r="B21" s="25" t="n"/>
      <c r="C21" s="25" t="n"/>
      <c r="D21" s="25" t="n"/>
      <c r="E21" s="25" t="n"/>
      <c r="F21" s="25" t="n"/>
    </row>
    <row r="24" ht="15" customHeight="1" s="17">
      <c r="A24" s="31" t="inlineStr">
        <is>
          <t>Agreement rate:</t>
        </is>
      </c>
      <c r="B24" s="20">
        <f>COUNTIF(E2:E21,"Y")&amp;" / "&amp;COUNTA(E2:E21)</f>
        <v/>
      </c>
    </row>
    <row r="25" ht="15" customHeight="1" s="17">
      <c r="A25" s="19" t="inlineStr">
        <is>
          <t>Target: ≥ 90% (Hard Stop 2, Section 4.2)</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Gaurav Sharma</dc:creator>
  <dc:language xmlns:dc="http://purl.org/dc/elements/1.1/">en-US</dc:language>
  <dcterms:created xmlns:dcterms="http://purl.org/dc/terms/" xmlns:xsi="http://www.w3.org/2001/XMLSchema-instance" xsi:type="dcterms:W3CDTF">2026-10-11T02:11:53Z</dcterms:created>
  <dcterms:modified xmlns:dcterms="http://purl.org/dc/terms/" xmlns:xsi="http://www.w3.org/2001/XMLSchema-instance" xsi:type="dcterms:W3CDTF">2026-10-29T04:16:37Z</dcterms:modified>
  <cp:lastModifiedBy>Gaurav Sharma</cp:lastModifiedBy>
  <cp:revision>0</cp:revision>
</cp:coreProperties>
</file>